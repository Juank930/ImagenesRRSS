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.melendezm\OneDrive - Claro Cenam\Documentos redes\NPS\"/>
    </mc:Choice>
  </mc:AlternateContent>
  <xr:revisionPtr revIDLastSave="1" documentId="6_{AFF5EEC4-9A1E-4A24-BB93-A5AB95FE13CD}" xr6:coauthVersionLast="36" xr6:coauthVersionMax="47" xr10:uidLastSave="{8E06B28F-671F-4E61-9B84-0F609D8F5840}"/>
  <bookViews>
    <workbookView minimized="1" xWindow="0" yWindow="0" windowWidth="19455" windowHeight="3885" xr2:uid="{00000000-000D-0000-FFFF-FFFF00000000}"/>
  </bookViews>
  <sheets>
    <sheet name="Hoja1" sheetId="1" r:id="rId1"/>
    <sheet name="Hoja2" sheetId="3" state="hidden" r:id="rId2"/>
    <sheet name="Usuarios" sheetId="2" r:id="rId3"/>
  </sheets>
  <definedNames>
    <definedName name="SegmentaciónDeDatos_Canal">#N/A</definedName>
    <definedName name="SegmentaciónDeDatos_Supervisor">#N/A</definedName>
    <definedName name="SegmentaciónDeDatos_Tipo_de_encuesta">#N/A</definedName>
  </definedNames>
  <calcPr calcId="191028"/>
  <pivotCaches>
    <pivotCache cacheId="81" r:id="rId4"/>
    <pivotCache cacheId="84" r:id="rId5"/>
    <pivotCache cacheId="87" r:id="rId6"/>
    <pivotCache cacheId="90" r:id="rId7"/>
    <pivotCache cacheId="135" r:id="rId8"/>
  </pivotCaches>
  <extLst>
    <ext xmlns:x14="http://schemas.microsoft.com/office/spreadsheetml/2009/9/main" uri="{876F7934-8845-4945-9796-88D515C7AA90}">
      <x14:pivotCaches>
        <pivotCache cacheId="56" r:id="rId9"/>
      </x14:pivotCaches>
    </ex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60" r:id="rId13"/>
        <pivotCache cacheId="63" r:id="rId14"/>
        <pivotCache cacheId="66" r:id="rId15"/>
        <pivotCache cacheId="69" r:id="rId16"/>
        <pivotCache cacheId="72" r:id="rId17"/>
        <pivotCache cacheId="75" r:id="rId18"/>
        <pivotCache cacheId="78" r:id="rId19"/>
      </x15:pivotCaches>
    </ext>
    <ext xmlns:x15="http://schemas.microsoft.com/office/spreadsheetml/2010/11/main" uri="{983426D0-5260-488c-9760-48F4B6AC55F4}">
      <x15:pivotTableReferences>
        <x15:pivotTableReference r:id="rId20"/>
        <x15:pivotTableReference r:id="rId21"/>
        <x15:pivotTableReference r:id="rId22"/>
        <x15:pivotTableReference r:id="rId23"/>
        <x15:pivotTableReference r:id="rId24"/>
        <x15:pivotTableReference r:id="rId25"/>
        <x15:pivotTableReference r:id="rId26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bana_567b6eae-18cb-4d26-9d37-0883378067a3" name="sabana" connection="Consulta - sabana"/>
        </x15:modelTables>
      </x15:dataModel>
    </ext>
  </extLst>
</workbook>
</file>

<file path=xl/calcChain.xml><?xml version="1.0" encoding="utf-8"?>
<calcChain xmlns="http://schemas.openxmlformats.org/spreadsheetml/2006/main">
  <c r="B10" i="3" l="1"/>
  <c r="B3" i="3"/>
  <c r="B6" i="3"/>
  <c r="B5" i="3"/>
  <c r="B2" i="3"/>
  <c r="B8" i="3"/>
  <c r="B1" i="3"/>
  <c r="B4" i="3"/>
  <c r="B9" i="3"/>
  <c r="B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04854B-1D91-4997-906D-C4BFAF135B78}" name="Consulta - sabana" description="Conexión a la consulta 'sabana' en el libro." type="100" refreshedVersion="6" minRefreshableVersion="5">
    <extLst>
      <ext xmlns:x15="http://schemas.microsoft.com/office/spreadsheetml/2010/11/main" uri="{DE250136-89BD-433C-8126-D09CA5730AF9}">
        <x15:connection id="f64d8a84-84bc-4f1f-949b-eafd1618dee3"/>
      </ext>
    </extLst>
  </connection>
  <connection id="2" xr16:uid="{9A2A7D5F-26DD-4137-8064-95BCF926A7CC}" keepAlive="1" name="Consulta - usuarios" description="Conexión a la consulta 'usuarios' en el libro." type="5" refreshedVersion="8" background="1" saveData="1">
    <dbPr connection="Provider=Microsoft.Mashup.OleDb.1;Data Source=$Workbook$;Location=usuarios;Extended Properties=&quot;&quot;" command="SELECT * FROM [usuarios]"/>
  </connection>
  <connection id="3" xr16:uid="{B5399810-0F08-4D18-9CDD-184810E93E18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sabana].[Clasificacion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<sst xmlns="http://schemas.openxmlformats.org/spreadsheetml/2006/main" count="436" uniqueCount="130">
  <si>
    <t>Usuario OM</t>
  </si>
  <si>
    <t>tNPS</t>
  </si>
  <si>
    <t>Detractores</t>
  </si>
  <si>
    <t>Pasivos</t>
  </si>
  <si>
    <t>Promotores</t>
  </si>
  <si>
    <t>Encuestas</t>
  </si>
  <si>
    <t>Erick Morales</t>
  </si>
  <si>
    <t>Jaime Flores</t>
  </si>
  <si>
    <t>Rodrigo Gomez</t>
  </si>
  <si>
    <t>Total general</t>
  </si>
  <si>
    <t>Santa Elena</t>
  </si>
  <si>
    <t>Henry Romero</t>
  </si>
  <si>
    <t>Santa Ana</t>
  </si>
  <si>
    <t>carlos.mguzman@clarosv</t>
  </si>
  <si>
    <t>ramon.hsuarez@clarosv</t>
  </si>
  <si>
    <t>estefany.mendezg@clarosv</t>
  </si>
  <si>
    <t>marlong.garcia@clarosv</t>
  </si>
  <si>
    <t>marioh.recinos@clarosv</t>
  </si>
  <si>
    <t>jessicae.molina@clarosv</t>
  </si>
  <si>
    <t>daniel.moran@clarosv</t>
  </si>
  <si>
    <t>oscar.perezp@clarosv</t>
  </si>
  <si>
    <t>mario.eperez@clarosv</t>
  </si>
  <si>
    <t>oscarb.romero@clarosv</t>
  </si>
  <si>
    <t>rigoberto.magana@clarosv</t>
  </si>
  <si>
    <t>juan.amartinez@clarosv</t>
  </si>
  <si>
    <t>nelsonv.rivera@clarosv</t>
  </si>
  <si>
    <t>cinthya.reyes@clarosv</t>
  </si>
  <si>
    <t>giovanna.trejo@clarosv</t>
  </si>
  <si>
    <t>gabriel.carballo@clarosv</t>
  </si>
  <si>
    <t>lissette.quinteros@clarosv</t>
  </si>
  <si>
    <t>tatiana.escobare@clarosv</t>
  </si>
  <si>
    <t>davida.cardonan@clarosv</t>
  </si>
  <si>
    <t>guevara.katherine@clarosv</t>
  </si>
  <si>
    <t>adriana.quintana@clarosv</t>
  </si>
  <si>
    <t>henry.matute@clarosv</t>
  </si>
  <si>
    <t>mariaf.cortez@clarosv</t>
  </si>
  <si>
    <t>hellen.caceres@clarosv</t>
  </si>
  <si>
    <t>rodrigoa.martinez@clarosv</t>
  </si>
  <si>
    <t>fabiola.vasquez@clarosv</t>
  </si>
  <si>
    <t>diego.erazo@clarosv</t>
  </si>
  <si>
    <t>pamela.torresr@clarosv</t>
  </si>
  <si>
    <t>derek.caballero@clarosv</t>
  </si>
  <si>
    <t>griselda.perez@clarosv</t>
  </si>
  <si>
    <t>lopezr.kevin@clarosv</t>
  </si>
  <si>
    <t>gilma.barillas@clarosv</t>
  </si>
  <si>
    <t>munoz.alejandra@clarosv</t>
  </si>
  <si>
    <t>gabriela.chavez@clarosv</t>
  </si>
  <si>
    <t>josselyn.moran@clarosv</t>
  </si>
  <si>
    <t>guevara.mauricio@clarosv</t>
  </si>
  <si>
    <t>mariaj.lopezb@clarosv</t>
  </si>
  <si>
    <t>melissa.pereza@clarosv</t>
  </si>
  <si>
    <t>karla.asencio@clarosv</t>
  </si>
  <si>
    <t>oscar.rogel@clarosv</t>
  </si>
  <si>
    <t>luism.moreno@clarosv</t>
  </si>
  <si>
    <t>katya.ventura@clarosv</t>
  </si>
  <si>
    <t>jaren.santacruz@clarosv</t>
  </si>
  <si>
    <t>marielag.perezp@clarosv</t>
  </si>
  <si>
    <t>brenda.orellana@clarosv</t>
  </si>
  <si>
    <t>kevin.sanchezs@clarosv</t>
  </si>
  <si>
    <t>maritza.sermeno@clarosv</t>
  </si>
  <si>
    <t>carolina.escobar@clarosv</t>
  </si>
  <si>
    <t>silvia.arita@clarosv</t>
  </si>
  <si>
    <t>carlosr.salazar@clarosv</t>
  </si>
  <si>
    <t>guillermoe.martinez@clarosv</t>
  </si>
  <si>
    <t>anar.escobar@clarosv</t>
  </si>
  <si>
    <t>valeriaj.garcia@clarosv</t>
  </si>
  <si>
    <t>adriana.tamayo@clarosv</t>
  </si>
  <si>
    <t>vladimiran.margueiz@clarosv</t>
  </si>
  <si>
    <t>omar.asensio@clarosv</t>
  </si>
  <si>
    <t>yuria.flores@clarosv</t>
  </si>
  <si>
    <t>TOTAL Encuestas</t>
  </si>
  <si>
    <t>Erick Carpio</t>
  </si>
  <si>
    <t>Gerardo Leiva</t>
  </si>
  <si>
    <t>Rodrigo Coreas</t>
  </si>
  <si>
    <t>Hoy</t>
  </si>
  <si>
    <t>ACUMULADO</t>
  </si>
  <si>
    <t>Manual</t>
  </si>
  <si>
    <t>ACUMULADO Jaime Flores</t>
  </si>
  <si>
    <t>ACUMULADO Erick Carpio</t>
  </si>
  <si>
    <t>ACUMULADO Gerardo Leiva</t>
  </si>
  <si>
    <t>ACUMULADO Rodrigo Coreas</t>
  </si>
  <si>
    <t>10:00 Detractores</t>
  </si>
  <si>
    <t>3</t>
  </si>
  <si>
    <t>14:00 Detractores</t>
  </si>
  <si>
    <t>21:00 Detractores</t>
  </si>
  <si>
    <t>10:00 Promotores</t>
  </si>
  <si>
    <t>14</t>
  </si>
  <si>
    <t>14:00 Promotores</t>
  </si>
  <si>
    <t>21:00 Promotores</t>
  </si>
  <si>
    <t>10:00 Hoy</t>
  </si>
  <si>
    <t>75</t>
  </si>
  <si>
    <t>14:00 Hoy</t>
  </si>
  <si>
    <t>21:00 Hoy</t>
  </si>
  <si>
    <t>Operador</t>
  </si>
  <si>
    <t>Supervisor</t>
  </si>
  <si>
    <t>Sitio</t>
  </si>
  <si>
    <t>alcira.castro@clarosv</t>
  </si>
  <si>
    <t>jenniferv.ordonez@clarosv</t>
  </si>
  <si>
    <t>edith.rosales@clarosv</t>
  </si>
  <si>
    <t>ivonne.mezquita@clarosv</t>
  </si>
  <si>
    <t>edwin.madrid@clarosv</t>
  </si>
  <si>
    <t>marvin.perezm@clarosv</t>
  </si>
  <si>
    <t>cindyr.moreira@clarosv</t>
  </si>
  <si>
    <t>fernanda.alas@clarosv</t>
  </si>
  <si>
    <t>anthony.valencia@clarosv</t>
  </si>
  <si>
    <t>josue.andrade@clarosv</t>
  </si>
  <si>
    <t>mariax.hernandez@clarosv</t>
  </si>
  <si>
    <t>estefany.mayorga@clarosv</t>
  </si>
  <si>
    <t>Clasificacion</t>
  </si>
  <si>
    <t>All</t>
  </si>
  <si>
    <t>gersoni.floresc@clarosv</t>
  </si>
  <si>
    <t>sandray.pinto@clarosv</t>
  </si>
  <si>
    <t>victorm.marroquin@clarosv</t>
  </si>
  <si>
    <t>giovanni.perez@clarosv</t>
  </si>
  <si>
    <t>andrea.alvarenga@clarosv</t>
  </si>
  <si>
    <t>steven.mejia@clarosv</t>
  </si>
  <si>
    <t>50369551807</t>
  </si>
  <si>
    <t>50376214920</t>
  </si>
  <si>
    <t>50379144714</t>
  </si>
  <si>
    <t>50379561814</t>
  </si>
  <si>
    <t>50376183407</t>
  </si>
  <si>
    <t>50371541280</t>
  </si>
  <si>
    <t>50377512624</t>
  </si>
  <si>
    <t>50379974420</t>
  </si>
  <si>
    <t>50360006562</t>
  </si>
  <si>
    <t>50374489418</t>
  </si>
  <si>
    <t>0</t>
  </si>
  <si>
    <t>NO ME AYUDARON EN NADAAAA</t>
  </si>
  <si>
    <t>He tenido muy mala experiencia con Claro</t>
  </si>
  <si>
    <t>No me ayudan en resolver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</si>
</sst>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%;\-0.00\ %;0.00\ %"/>
  </numFmts>
  <fonts count="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rgb="FFFFFF00"/>
        <bgColor theme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theme="8" tint="0.79998168889431442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4">
    <xf numFmtId="0" fontId="0" fillId="0" borderId="0" xfId="0"/>
    <xf numFmtId="0" fontId="0" fillId="3" borderId="0" xfId="0" applyFill="1"/>
    <xf numFmtId="0" fontId="0" fillId="3" borderId="0" xfId="0" applyFill="1" applyAlignment="1">
      <alignment horizontal="left"/>
    </xf>
    <xf numFmtId="164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" xfId="0" applyFill="1" applyBorder="1"/>
    <xf numFmtId="0" fontId="1" fillId="2" borderId="2" xfId="0" applyFont="1" applyFill="1" applyBorder="1"/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0" fontId="0" fillId="3" borderId="14" xfId="0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0" fontId="3" fillId="2" borderId="16" xfId="0" applyFont="1" applyFill="1" applyBorder="1" applyAlignment="1">
      <alignment horizontal="left" vertical="center"/>
    </xf>
    <xf numFmtId="164" fontId="0" fillId="3" borderId="16" xfId="0" applyNumberFormat="1" applyFill="1" applyBorder="1" applyAlignment="1">
      <alignment horizontal="left" vertical="center"/>
    </xf>
    <xf numFmtId="0" fontId="0" fillId="3" borderId="16" xfId="0" applyFill="1" applyBorder="1" applyAlignment="1">
      <alignment horizontal="left" vertical="center"/>
    </xf>
    <xf numFmtId="164" fontId="0" fillId="5" borderId="16" xfId="0" applyNumberForma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applyAlignment="1">
      <alignment horizontal="left" vertical="center"/>
    </xf>
    <xf numFmtId="20" fontId="0" fillId="0" borderId="0" xfId="0" applyNumberFormat="1" applyAlignment="1">
      <alignment horizontal="left" vertic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5" fillId="0" borderId="0" xfId="0" applyFont="1" applyAlignment="1">
      <alignment horizontal="left" vertical="center"/>
    </xf>
    <xf numFmtId="164" fontId="0" fillId="7" borderId="6" xfId="0" applyNumberFormat="1" applyFill="1" applyBorder="1" applyAlignment="1">
      <alignment horizontal="center" vertical="center"/>
    </xf>
    <xf numFmtId="0" fontId="0" fillId="7" borderId="15" xfId="0" applyFill="1" applyBorder="1" applyAlignment="1">
      <alignment horizontal="left"/>
    </xf>
    <xf numFmtId="0" fontId="0" fillId="3" borderId="0" xfId="0" applyNumberFormat="1" applyFill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0" fontId="0" fillId="3" borderId="7" xfId="0" applyNumberFormat="1" applyFill="1" applyBorder="1" applyAlignment="1">
      <alignment horizontal="center" vertical="center"/>
    </xf>
    <xf numFmtId="0" fontId="0" fillId="7" borderId="0" xfId="0" applyNumberFormat="1" applyFill="1" applyBorder="1" applyAlignment="1">
      <alignment horizontal="center" vertical="center"/>
    </xf>
    <xf numFmtId="0" fontId="0" fillId="7" borderId="7" xfId="0" applyNumberFormat="1" applyFill="1" applyBorder="1" applyAlignment="1">
      <alignment horizontal="center" vertical="center"/>
    </xf>
    <xf numFmtId="0" fontId="0" fillId="3" borderId="9" xfId="0" applyNumberFormat="1" applyFont="1" applyFill="1" applyBorder="1" applyAlignment="1">
      <alignment horizontal="center" vertical="center"/>
    </xf>
    <xf numFmtId="0" fontId="0" fillId="3" borderId="10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 applyAlignment="1">
      <alignment horizontal="center" vertical="center"/>
    </xf>
    <xf numFmtId="0" fontId="0" fillId="3" borderId="5" xfId="0" applyNumberForma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left"/>
    </xf>
    <xf numFmtId="164" fontId="0" fillId="8" borderId="8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/>
    <xf numFmtId="0" fontId="1" fillId="2" borderId="12" xfId="0" applyFont="1" applyFill="1" applyBorder="1" applyAlignment="1"/>
    <xf numFmtId="0" fontId="1" fillId="2" borderId="13" xfId="0" applyFont="1" applyFill="1" applyBorder="1" applyAlignment="1"/>
    <xf numFmtId="164" fontId="0" fillId="6" borderId="8" xfId="0" applyNumberFormat="1" applyFont="1" applyFill="1" applyBorder="1" applyAlignment="1">
      <alignment horizontal="center" vertical="center"/>
    </xf>
    <xf numFmtId="0" fontId="0" fillId="3" borderId="16" xfId="0" applyNumberFormat="1" applyFill="1" applyBorder="1" applyAlignment="1">
      <alignment horizontal="left" vertical="center"/>
    </xf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8" fillId="0" borderId="0" xfId="0" applyFont="1"/>
    <xf numFmtId="0" fontId="7" fillId="0" borderId="0" xfId="2"/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3" borderId="0" xfId="0" applyFill="1" applyAlignment="1">
      <alignment horizontal="center" indent="1"/>
    </xf>
    <xf numFmtId="0" fontId="0" fillId="3" borderId="0" xfId="0" applyFill="1" applyAlignment="1">
      <alignment horizontal="center" indent="2"/>
    </xf>
  </cellXfs>
  <cellStyles count="3">
    <cellStyle name="Hipervínculo" xfId="2" builtinId="8"/>
    <cellStyle name="Normal" xfId="0" builtinId="0"/>
    <cellStyle name="Porcentaje" xfId="1" builtinId="5"/>
  </cellStyles>
  <dxfs count="536"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 tint="-0.249977111117893"/>
        </patternFill>
      </fill>
    </dxf>
    <dxf>
      <fill>
        <patternFill>
          <bgColor theme="7" tint="0.59999389629810485"/>
        </patternFill>
      </fill>
    </dxf>
    <dxf>
      <fill>
        <patternFill>
          <bgColor theme="9" tint="0.39997558519241921"/>
        </patternFill>
      </fill>
    </dxf>
    <dxf>
      <fill>
        <patternFill>
          <bgColor rgb="FFC000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  <fill>
        <patternFill>
          <fgColor rgb="FFC00000"/>
        </patternFill>
      </fill>
    </dxf>
    <dxf>
      <fill>
        <patternFill>
          <fgColor indexed="64"/>
          <bgColor rgb="FFC0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indexed="64"/>
          <bgColor rgb="FFC00000"/>
        </patternFill>
      </fill>
      <alignment horizontal="general" vertical="bottom" textRotation="0" wrapText="0" indent="0" justifyLastLine="0" shrinkToFit="0" readingOrder="0"/>
    </dxf>
    <dxf>
      <fill>
        <patternFill>
          <fgColor theme="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 tint="-0.249977111117893"/>
        </patternFill>
      </fill>
    </dxf>
    <dxf>
      <fill>
        <patternFill>
          <bgColor rgb="FFC000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8" tint="0.79998168889431442"/>
        </patternFill>
      </fill>
    </dxf>
    <dxf>
      <font>
        <color theme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fgColor theme="8" tint="0.79998168889431442"/>
        </patternFill>
      </fill>
    </dxf>
    <dxf>
      <alignment horizont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f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border>
        <bottom style="thin">
          <color indexed="64"/>
        </bottom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5" formatCode="hh:mm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5" formatCode="hh:mm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5" formatCode="hh:mm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protection locked="0" hidden="0"/>
    </dxf>
    <dxf>
      <font>
        <b/>
        <color rgb="FFC00000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>
          <fgColor theme="0"/>
        </patternFill>
      </fill>
    </dxf>
    <dxf>
      <font>
        <color theme="0"/>
      </font>
      <fill>
        <patternFill>
          <fgColor indexed="64"/>
          <bgColor rgb="FFC00000"/>
        </patternFill>
      </fill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fgColor indexed="64"/>
          <bgColor rgb="FFC00000"/>
        </patternFill>
      </fill>
    </dxf>
    <dxf>
      <font>
        <color theme="0"/>
      </font>
      <fill>
        <patternFill>
          <fgColor rgb="FFC000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C00000"/>
        </patternFill>
      </fill>
    </dxf>
    <dxf>
      <fill>
        <patternFill>
          <bgColor theme="9" tint="0.39997558519241921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0" tint="-0.24997711111789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border>
        <bottom style="thin">
          <color indexed="64"/>
        </bottom>
      </border>
    </dxf>
    <dxf>
      <fill>
        <patternFill>
          <fgColor theme="8" tint="0.79998168889431442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1"/>
      </font>
    </dxf>
    <dxf>
      <fill>
        <patternFill>
          <bgColor theme="8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C00000"/>
        </patternFill>
      </fill>
    </dxf>
    <dxf>
      <fill>
        <patternFill patternType="solid">
          <bgColor theme="0" tint="-0.24997711111789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rgb="FFFFFF0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border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xml"/><Relationship Id="rId18" Type="http://schemas.openxmlformats.org/officeDocument/2006/relationships/pivotCacheDefinition" Target="pivotCache/pivotCacheDefinition12.xml"/><Relationship Id="rId26" Type="http://schemas.openxmlformats.org/officeDocument/2006/relationships/pivotTable" Target="pivotTables/pivotTable7.xml"/><Relationship Id="rId39" Type="http://schemas.openxmlformats.org/officeDocument/2006/relationships/customXml" Target="../customXml/item6.xml"/><Relationship Id="rId21" Type="http://schemas.openxmlformats.org/officeDocument/2006/relationships/pivotTable" Target="pivotTables/pivotTable2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openxmlformats.org/officeDocument/2006/relationships/customXml" Target="../customXml/item22.xml"/><Relationship Id="rId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0.xml"/><Relationship Id="rId29" Type="http://schemas.openxmlformats.org/officeDocument/2006/relationships/styles" Target="styles.xml"/><Relationship Id="rId11" Type="http://schemas.microsoft.com/office/2007/relationships/slicerCache" Target="slicerCaches/slicerCache2.xml"/><Relationship Id="rId24" Type="http://schemas.openxmlformats.org/officeDocument/2006/relationships/pivotTable" Target="pivotTables/pivotTable5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8" Type="http://schemas.openxmlformats.org/officeDocument/2006/relationships/customXml" Target="../customXml/item25.xml"/><Relationship Id="rId5" Type="http://schemas.openxmlformats.org/officeDocument/2006/relationships/pivotCacheDefinition" Target="pivotCache/pivotCacheDefinition2.xml"/><Relationship Id="rId19" Type="http://schemas.openxmlformats.org/officeDocument/2006/relationships/pivotCacheDefinition" Target="pivotCache/pivotCacheDefinition13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8.xml"/><Relationship Id="rId22" Type="http://schemas.openxmlformats.org/officeDocument/2006/relationships/pivotTable" Target="pivotTables/pivotTable3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56" Type="http://schemas.openxmlformats.org/officeDocument/2006/relationships/customXml" Target="../customXml/item23.xml"/><Relationship Id="rId8" Type="http://schemas.openxmlformats.org/officeDocument/2006/relationships/pivotCacheDefinition" Target="pivotCache/pivotCacheDefinition5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microsoft.com/office/2007/relationships/slicerCache" Target="slicerCaches/slicerCache3.xml"/><Relationship Id="rId17" Type="http://schemas.openxmlformats.org/officeDocument/2006/relationships/pivotCacheDefinition" Target="pivotCache/pivotCacheDefinition11.xml"/><Relationship Id="rId25" Type="http://schemas.openxmlformats.org/officeDocument/2006/relationships/pivotTable" Target="pivotTables/pivotTable6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59" Type="http://schemas.openxmlformats.org/officeDocument/2006/relationships/customXml" Target="../customXml/item26.xml"/><Relationship Id="rId20" Type="http://schemas.openxmlformats.org/officeDocument/2006/relationships/pivotTable" Target="pivotTables/pivotTable1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5" Type="http://schemas.openxmlformats.org/officeDocument/2006/relationships/pivotCacheDefinition" Target="pivotCache/pivotCacheDefinition9.xml"/><Relationship Id="rId23" Type="http://schemas.openxmlformats.org/officeDocument/2006/relationships/pivotTable" Target="pivotTables/pivotTable4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Relationship Id="rId57" Type="http://schemas.openxmlformats.org/officeDocument/2006/relationships/customXml" Target="../customXml/item24.xml"/><Relationship Id="rId10" Type="http://schemas.microsoft.com/office/2007/relationships/slicerCache" Target="slicerCaches/slicerCache1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13-4C72-8DE1-95339A9A691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13-4C72-8DE1-95339A9A691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13-4C72-8DE1-95339A9A69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SV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Promotores</c:v>
              </c:pt>
              <c:pt idx="1">
                <c:v>Detractores</c:v>
              </c:pt>
            </c:strLit>
          </c:cat>
          <c:val>
            <c:numLit>
              <c:formatCode>General</c:formatCode>
              <c:ptCount val="2"/>
              <c:pt idx="0">
                <c:v>191</c:v>
              </c:pt>
              <c:pt idx="1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4-0115-40DC-84B2-11CDB6D6BA51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extLst>
    <c:ext xmlns:c15="http://schemas.microsoft.com/office/drawing/2012/chart" uri="{723BEF56-08C2-4564-9609-F4CBC75E7E54}">
      <c15:pivotSource>
        <c15:name>[tNPS HOY (1).xlsm]PivotChartTable4</c15:name>
        <c15:fmtId val="0"/>
      </c15:pivotSource>
      <c15:pivotOptions>
        <c15:dropZoneFilter val="1"/>
        <c15:dropZoneCategories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AE0-465A-B0AC-B012C538E00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AE0-465A-B0AC-B012C538E0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SV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nota_cero</c:v>
              </c:pt>
              <c:pt idx="1">
                <c:v>nota_diez</c:v>
              </c:pt>
            </c:strLit>
          </c:cat>
          <c:val>
            <c:numLit>
              <c:formatCode>General</c:formatCode>
              <c:ptCount val="2"/>
              <c:pt idx="0">
                <c:v>15</c:v>
              </c:pt>
              <c:pt idx="1">
                <c:v>171</c:v>
              </c:pt>
            </c:numLit>
          </c:val>
          <c:extLst>
            <c:ext xmlns:c16="http://schemas.microsoft.com/office/drawing/2014/chart" uri="{C3380CC4-5D6E-409C-BE32-E72D297353CC}">
              <c16:uniqueId val="{00000007-0166-4B3A-A034-FEDF82B0BBF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extLst>
    <c:ext xmlns:c15="http://schemas.microsoft.com/office/drawing/2012/chart" uri="{723BEF56-08C2-4564-9609-F4CBC75E7E54}">
      <c15:pivotSource>
        <c15:name>[tNPS HOY (1).xlsm]PivotChartTable5</c15:name>
        <c15:fmtId val="2"/>
      </c15:pivotSource>
      <c15:pivotOptions>
        <c15:dropZoneFilter val="1"/>
        <c15:dropZoneCategories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tNPS</a:t>
            </a:r>
          </a:p>
        </c:rich>
      </c:tx>
      <c:layout>
        <c:manualLayout>
          <c:xMode val="edge"/>
          <c:yMode val="edge"/>
          <c:x val="0.41741209516491745"/>
          <c:y val="5.3421642839798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1495209-98AD-4DC9-B76E-CA6F80EE700E}" type="VALUE">
                  <a:rPr lang="en-US" sz="1400" b="1"/>
                  <a:pPr>
                    <a:defRPr/>
                  </a:pPr>
                  <a:t>[VALOR]</a:t>
                </a:fld>
                <a:endParaRPr lang="es-SV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4D4-469D-93EF-E6BF7B8E70F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1495209-98AD-4DC9-B76E-CA6F80EE700E}" type="VALUE">
                      <a:rPr lang="en-US" sz="1400" b="1"/>
                      <a:pPr/>
                      <a:t>[VALOR]</a:t>
                    </a:fld>
                    <a:endParaRPr lang="es-SV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4D4-469D-93EF-E6BF7B8E70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S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0.00\ %;\-0.00\ %;0.00\ %</c:formatCode>
              <c:ptCount val="1"/>
              <c:pt idx="0">
                <c:v>0.69421487603305787</c:v>
              </c:pt>
            </c:numLit>
          </c:val>
          <c:extLst>
            <c:ext xmlns:c16="http://schemas.microsoft.com/office/drawing/2014/chart" uri="{C3380CC4-5D6E-409C-BE32-E72D297353CC}">
              <c16:uniqueId val="{00000002-5C6D-4A29-8625-B1E3B675C26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4404639"/>
        <c:axId val="68167999"/>
      </c:barChart>
      <c:catAx>
        <c:axId val="6440463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6816799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68167999"/>
        <c:scaling>
          <c:orientation val="minMax"/>
        </c:scaling>
        <c:delete val="1"/>
        <c:axPos val="l"/>
        <c:numFmt formatCode="0.00\ %;\-0.00\ %;0.00\ %" sourceLinked="0"/>
        <c:majorTickMark val="none"/>
        <c:minorTickMark val="none"/>
        <c:tickLblPos val="nextTo"/>
        <c:crossAx val="64404639"/>
        <c:crosses val="autoZero"/>
        <c:crossBetween val="between"/>
        <c:extLst>
          <c:ext xmlns:c15="http://schemas.microsoft.com/office/drawing/2012/chart" uri="{F40574EE-89B7-4290-83BB-5DA773EAF853}">
            <c15:numFmt c:formatCode="0.00\ %;\-0.00\ %;0.00\ %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extLst>
    <c:ext xmlns:c15="http://schemas.microsoft.com/office/drawing/2012/chart" uri="{723BEF56-08C2-4564-9609-F4CBC75E7E54}">
      <c15:pivotSource>
        <c15:name>[tNPS HOY (1).xlsm]PivotChartTable2</c15:name>
        <c15:fmtId val="6"/>
      </c15:pivotSource>
      <c15:pivotOptions>
        <c15:dropZoneFilter val="1"/>
        <c15:dropZoneCatego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Encuesta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1.4137236951481021E-7"/>
              <c:y val="0.1554622329574151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fld id="{6B066C1F-C8F6-4740-A3F5-A1DB159B75C8}" type="VALUE">
                  <a:rPr lang="en-US" sz="1400" b="1" baseline="0"/>
                  <a:pPr>
                    <a:defRPr/>
                  </a:pPr>
                  <a:t>[VALOR]</a:t>
                </a:fld>
                <a:endParaRPr lang="es-SV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229-4907-B968-84E56454EDAE}"/>
              </c:ext>
            </c:extLst>
          </c:dPt>
          <c:dLbls>
            <c:dLbl>
              <c:idx val="0"/>
              <c:layout>
                <c:manualLayout>
                  <c:x val="-1.4137236951481021E-7"/>
                  <c:y val="0.1554622329574151"/>
                </c:manualLayout>
              </c:layout>
              <c:tx>
                <c:rich>
                  <a:bodyPr/>
                  <a:lstStyle/>
                  <a:p>
                    <a:fld id="{6B066C1F-C8F6-4740-A3F5-A1DB159B75C8}" type="VALUE">
                      <a:rPr lang="en-US" sz="1400" b="1" baseline="0"/>
                      <a:pPr/>
                      <a:t>[VALOR]</a:t>
                    </a:fld>
                    <a:endParaRPr lang="es-SV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229-4907-B968-84E56454ED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SV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242</c:v>
              </c:pt>
            </c:numLit>
          </c:val>
          <c:extLst>
            <c:ext xmlns:c16="http://schemas.microsoft.com/office/drawing/2014/chart" uri="{C3380CC4-5D6E-409C-BE32-E72D297353CC}">
              <c16:uniqueId val="{00000001-61D5-4AC6-9982-C61FB4540DD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4404639"/>
        <c:axId val="68167999"/>
      </c:barChart>
      <c:catAx>
        <c:axId val="6440463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6816799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68167999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64404639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extLst>
    <c:ext xmlns:c15="http://schemas.microsoft.com/office/drawing/2012/chart" uri="{723BEF56-08C2-4564-9609-F4CBC75E7E54}">
      <c15:pivotSource>
        <c15:name>[tNPS HOY (1).xlsm]PivotChartTable3</c15:name>
        <c15:fmtId val="6"/>
      </c15:pivotSource>
      <c15:pivotOptions>
        <c15:dropZoneFilter val="1"/>
        <c15:dropZoneCatego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tNPS por Hora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S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9"/>
              <c:pt idx="0">
                <c:v>0</c:v>
              </c:pt>
              <c:pt idx="1">
                <c:v>4</c:v>
              </c:pt>
              <c:pt idx="2">
                <c:v>5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</c:strLit>
          </c:cat>
          <c:val>
            <c:numLit>
              <c:formatCode>0.00\ %;\-0.00\ %;0.00\ %</c:formatCode>
              <c:ptCount val="1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0.7142857142857143</c:v>
              </c:pt>
              <c:pt idx="4">
                <c:v>0.77777777777777779</c:v>
              </c:pt>
              <c:pt idx="5">
                <c:v>0.5</c:v>
              </c:pt>
              <c:pt idx="6">
                <c:v>0.63636363636363635</c:v>
              </c:pt>
              <c:pt idx="7">
                <c:v>0.55555555555555558</c:v>
              </c:pt>
              <c:pt idx="8">
                <c:v>0.81818181818181812</c:v>
              </c:pt>
              <c:pt idx="9">
                <c:v>0.8666666666666667</c:v>
              </c:pt>
              <c:pt idx="10">
                <c:v>0.8</c:v>
              </c:pt>
              <c:pt idx="11">
                <c:v>0.6875</c:v>
              </c:pt>
              <c:pt idx="12">
                <c:v>0.76470588235294112</c:v>
              </c:pt>
              <c:pt idx="13">
                <c:v>0.63157894736842102</c:v>
              </c:pt>
              <c:pt idx="14">
                <c:v>0.65517241379310343</c:v>
              </c:pt>
              <c:pt idx="15">
                <c:v>0.65517241379310343</c:v>
              </c:pt>
              <c:pt idx="16">
                <c:v>0.83333333333333337</c:v>
              </c:pt>
              <c:pt idx="17">
                <c:v>0.5714285714285714</c:v>
              </c:pt>
              <c:pt idx="18">
                <c:v>0.75</c:v>
              </c:pt>
            </c:numLit>
          </c:val>
          <c:extLst>
            <c:ext xmlns:c16="http://schemas.microsoft.com/office/drawing/2014/chart" uri="{C3380CC4-5D6E-409C-BE32-E72D297353CC}">
              <c16:uniqueId val="{00000000-B406-4B1E-8C36-A57AB4B04D4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4436799"/>
        <c:axId val="68352511"/>
      </c:barChart>
      <c:catAx>
        <c:axId val="6443679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6835251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68352511"/>
        <c:scaling>
          <c:orientation val="minMax"/>
        </c:scaling>
        <c:delete val="1"/>
        <c:axPos val="l"/>
        <c:numFmt formatCode="0.00\ %;\-0.00\ %;0.00\ %" sourceLinked="0"/>
        <c:majorTickMark val="none"/>
        <c:minorTickMark val="none"/>
        <c:tickLblPos val="nextTo"/>
        <c:crossAx val="64436799"/>
        <c:crosses val="autoZero"/>
        <c:crossBetween val="between"/>
        <c:extLst>
          <c:ext xmlns:c15="http://schemas.microsoft.com/office/drawing/2012/chart" uri="{F40574EE-89B7-4290-83BB-5DA773EAF853}">
            <c15:numFmt c:formatCode="0.00\ %;\-0.00\ %;0.00\ %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s-SV"/>
    </a:p>
  </c:txPr>
  <c:extLst>
    <c:ext xmlns:c15="http://schemas.microsoft.com/office/drawing/2012/chart" uri="{723BEF56-08C2-4564-9609-F4CBC75E7E54}">
      <c15:pivotSource>
        <c15:name>[tNPS HOY (1).xlsm]PivotChartTable8</c15:name>
        <c15:fmtId val="6"/>
      </c15:pivotSource>
      <c15:pivotOptions>
        <c15:dropZoneFilter val="1"/>
        <c15:dropZoneCatego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Encuestas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S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9"/>
              <c:pt idx="0">
                <c:v>0</c:v>
              </c:pt>
              <c:pt idx="1">
                <c:v>4</c:v>
              </c:pt>
              <c:pt idx="2">
                <c:v>5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</c:strLit>
          </c:cat>
          <c:val>
            <c:numLit>
              <c:formatCode>General</c:formatCode>
              <c:ptCount val="19"/>
              <c:pt idx="0">
                <c:v>1</c:v>
              </c:pt>
              <c:pt idx="1">
                <c:v>1</c:v>
              </c:pt>
              <c:pt idx="2">
                <c:v>2</c:v>
              </c:pt>
              <c:pt idx="3">
                <c:v>7</c:v>
              </c:pt>
              <c:pt idx="4">
                <c:v>9</c:v>
              </c:pt>
              <c:pt idx="5">
                <c:v>14</c:v>
              </c:pt>
              <c:pt idx="6">
                <c:v>11</c:v>
              </c:pt>
              <c:pt idx="7">
                <c:v>9</c:v>
              </c:pt>
              <c:pt idx="8">
                <c:v>11</c:v>
              </c:pt>
              <c:pt idx="9">
                <c:v>15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19</c:v>
              </c:pt>
              <c:pt idx="14">
                <c:v>29</c:v>
              </c:pt>
              <c:pt idx="15">
                <c:v>29</c:v>
              </c:pt>
              <c:pt idx="16">
                <c:v>12</c:v>
              </c:pt>
              <c:pt idx="17">
                <c:v>21</c:v>
              </c:pt>
              <c:pt idx="18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D8A4-4D0E-9914-E8F350EA5D3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4436799"/>
        <c:axId val="68352511"/>
      </c:barChart>
      <c:catAx>
        <c:axId val="6443679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6835251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68352511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64436799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s-SV"/>
    </a:p>
  </c:txPr>
  <c:extLst>
    <c:ext xmlns:c15="http://schemas.microsoft.com/office/drawing/2012/chart" uri="{723BEF56-08C2-4564-9609-F4CBC75E7E54}">
      <c15:pivotSource>
        <c15:name>[tNPS HOY (1).xlsm]PivotChartTable1</c15:name>
        <c15:fmtId val="6"/>
      </c15:pivotSource>
      <c15:pivotOptions>
        <c15:dropZoneFilter val="1"/>
        <c15:dropZoneCatego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Promotor / Detrador por Hora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00000"/>
          </a:solidFill>
          <a:ln>
            <a:solidFill>
              <a:srgbClr val="C00000"/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solidFill>
              <a:srgbClr val="FFFF00"/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92D050"/>
          </a:solidFill>
          <a:ln>
            <a:solidFill>
              <a:srgbClr val="92D050"/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SV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Conteo_Detractor</c:v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S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9"/>
              <c:pt idx="0">
                <c:v>0</c:v>
              </c:pt>
              <c:pt idx="1">
                <c:v>4</c:v>
              </c:pt>
              <c:pt idx="2">
                <c:v>5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</c:strLit>
          </c:cat>
          <c:val>
            <c:numLit>
              <c:formatCode>General</c:formatCode>
              <c:ptCount val="19"/>
              <c:pt idx="5">
                <c:v>3</c:v>
              </c:pt>
              <c:pt idx="6">
                <c:v>1</c:v>
              </c:pt>
              <c:pt idx="7">
                <c:v>2</c:v>
              </c:pt>
              <c:pt idx="8">
                <c:v>1</c:v>
              </c:pt>
              <c:pt idx="9">
                <c:v>1</c:v>
              </c:pt>
              <c:pt idx="11">
                <c:v>1</c:v>
              </c:pt>
              <c:pt idx="12">
                <c:v>2</c:v>
              </c:pt>
              <c:pt idx="13">
                <c:v>2</c:v>
              </c:pt>
              <c:pt idx="14">
                <c:v>4</c:v>
              </c:pt>
              <c:pt idx="15">
                <c:v>3</c:v>
              </c:pt>
              <c:pt idx="17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0-A3CF-433F-9056-10031F426DEB}"/>
            </c:ext>
          </c:extLst>
        </c:ser>
        <c:ser>
          <c:idx val="1"/>
          <c:order val="1"/>
          <c:tx>
            <c:v>Conteo_Promotor</c:v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SV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9"/>
              <c:pt idx="0">
                <c:v>0</c:v>
              </c:pt>
              <c:pt idx="1">
                <c:v>4</c:v>
              </c:pt>
              <c:pt idx="2">
                <c:v>5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</c:strLit>
          </c:cat>
          <c:val>
            <c:numLit>
              <c:formatCode>General</c:formatCode>
              <c:ptCount val="19"/>
              <c:pt idx="0">
                <c:v>1</c:v>
              </c:pt>
              <c:pt idx="1">
                <c:v>1</c:v>
              </c:pt>
              <c:pt idx="2">
                <c:v>2</c:v>
              </c:pt>
              <c:pt idx="3">
                <c:v>5</c:v>
              </c:pt>
              <c:pt idx="4">
                <c:v>7</c:v>
              </c:pt>
              <c:pt idx="5">
                <c:v>10</c:v>
              </c:pt>
              <c:pt idx="6">
                <c:v>8</c:v>
              </c:pt>
              <c:pt idx="7">
                <c:v>7</c:v>
              </c:pt>
              <c:pt idx="8">
                <c:v>10</c:v>
              </c:pt>
              <c:pt idx="9">
                <c:v>14</c:v>
              </c:pt>
              <c:pt idx="10">
                <c:v>12</c:v>
              </c:pt>
              <c:pt idx="11">
                <c:v>12</c:v>
              </c:pt>
              <c:pt idx="12">
                <c:v>15</c:v>
              </c:pt>
              <c:pt idx="13">
                <c:v>14</c:v>
              </c:pt>
              <c:pt idx="14">
                <c:v>23</c:v>
              </c:pt>
              <c:pt idx="15">
                <c:v>22</c:v>
              </c:pt>
              <c:pt idx="16">
                <c:v>10</c:v>
              </c:pt>
              <c:pt idx="17">
                <c:v>15</c:v>
              </c:pt>
              <c:pt idx="18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1-A3CF-433F-9056-10031F426D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4436799"/>
        <c:axId val="68352511"/>
      </c:barChart>
      <c:catAx>
        <c:axId val="6443679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6835251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68352511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64436799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s-SV"/>
    </a:p>
  </c:txPr>
  <c:extLst>
    <c:ext xmlns:c15="http://schemas.microsoft.com/office/drawing/2012/chart" uri="{723BEF56-08C2-4564-9609-F4CBC75E7E54}">
      <c15:pivotSource>
        <c15:name>[tNPS HOY (1).xlsm]PivotChartTable6</c15:name>
        <c15:fmtId val="9"/>
      </c15:pivotSource>
      <c15:pivotOptions>
        <c15:dropZoneFilter val="1"/>
        <c15:dropZoneCatego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426244</xdr:colOff>
      <xdr:row>1</xdr:row>
      <xdr:rowOff>148166</xdr:rowOff>
    </xdr:from>
    <xdr:to>
      <xdr:col>1</xdr:col>
      <xdr:colOff>265359</xdr:colOff>
      <xdr:row>12</xdr:row>
      <xdr:rowOff>65087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upervisor">
              <a:extLst>
                <a:ext uri="{FF2B5EF4-FFF2-40B4-BE49-F238E27FC236}">
                  <a16:creationId xmlns:a16="http://schemas.microsoft.com/office/drawing/2014/main" id="{9125FF41-3C04-D9AF-98A1-35AF9F3427D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6244" y="741363"/>
              <a:ext cx="1821656" cy="1470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SV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112889</xdr:colOff>
      <xdr:row>1</xdr:row>
      <xdr:rowOff>54212</xdr:rowOff>
    </xdr:from>
    <xdr:to>
      <xdr:col>18</xdr:col>
      <xdr:colOff>373593</xdr:colOff>
      <xdr:row>15</xdr:row>
      <xdr:rowOff>154516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CB0729CA-CAA5-8C37-33E8-9B7DC8545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411162</xdr:colOff>
      <xdr:row>12</xdr:row>
      <xdr:rowOff>161131</xdr:rowOff>
    </xdr:from>
    <xdr:to>
      <xdr:col>1</xdr:col>
      <xdr:colOff>266946</xdr:colOff>
      <xdr:row>19</xdr:row>
      <xdr:rowOff>106986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Canal">
              <a:extLst>
                <a:ext uri="{FF2B5EF4-FFF2-40B4-BE49-F238E27FC236}">
                  <a16:creationId xmlns:a16="http://schemas.microsoft.com/office/drawing/2014/main" id="{68404696-EE43-A64C-D8B1-322055C23F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1162" y="2304256"/>
              <a:ext cx="1831975" cy="993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SV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114383</xdr:colOff>
      <xdr:row>15</xdr:row>
      <xdr:rowOff>144250</xdr:rowOff>
    </xdr:from>
    <xdr:to>
      <xdr:col>18</xdr:col>
      <xdr:colOff>359833</xdr:colOff>
      <xdr:row>29</xdr:row>
      <xdr:rowOff>159809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77C01652-06F8-49DF-A3AD-2CED3A38F2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542761</xdr:colOff>
      <xdr:row>1</xdr:row>
      <xdr:rowOff>45605</xdr:rowOff>
    </xdr:from>
    <xdr:to>
      <xdr:col>7</xdr:col>
      <xdr:colOff>709084</xdr:colOff>
      <xdr:row>15</xdr:row>
      <xdr:rowOff>148167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A59F3C37-D4D3-4614-8625-D302547B2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707157</xdr:colOff>
      <xdr:row>1</xdr:row>
      <xdr:rowOff>52916</xdr:rowOff>
    </xdr:from>
    <xdr:to>
      <xdr:col>11</xdr:col>
      <xdr:colOff>116416</xdr:colOff>
      <xdr:row>15</xdr:row>
      <xdr:rowOff>152400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BD4B621-05E4-47CD-8368-8AA570FDFF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67732</xdr:colOff>
      <xdr:row>32</xdr:row>
      <xdr:rowOff>161924</xdr:rowOff>
    </xdr:from>
    <xdr:to>
      <xdr:col>21</xdr:col>
      <xdr:colOff>349250</xdr:colOff>
      <xdr:row>51</xdr:row>
      <xdr:rowOff>146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F3221319-582B-470B-9EC9-2DD40D0B31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411691</xdr:colOff>
      <xdr:row>20</xdr:row>
      <xdr:rowOff>101601</xdr:rowOff>
    </xdr:from>
    <xdr:to>
      <xdr:col>1</xdr:col>
      <xdr:colOff>247631</xdr:colOff>
      <xdr:row>25</xdr:row>
      <xdr:rowOff>106270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ipo de encuesta">
              <a:extLst>
                <a:ext uri="{FF2B5EF4-FFF2-40B4-BE49-F238E27FC236}">
                  <a16:creationId xmlns:a16="http://schemas.microsoft.com/office/drawing/2014/main" id="{5239A4D8-B636-4013-AAAA-726093EEBD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encues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8516" y="3703109"/>
              <a:ext cx="1835150" cy="9567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SV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19</xdr:col>
      <xdr:colOff>773206</xdr:colOff>
      <xdr:row>10</xdr:row>
      <xdr:rowOff>78441</xdr:rowOff>
    </xdr:from>
    <xdr:to>
      <xdr:col>22</xdr:col>
      <xdr:colOff>67235</xdr:colOff>
      <xdr:row>13</xdr:row>
      <xdr:rowOff>44823</xdr:rowOff>
    </xdr:to>
    <xdr:sp macro="[0]!Actualiz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54F6BDB-1B61-4CF0-91CF-C588191B1943}"/>
            </a:ext>
          </a:extLst>
        </xdr:cNvPr>
        <xdr:cNvSpPr/>
      </xdr:nvSpPr>
      <xdr:spPr>
        <a:xfrm>
          <a:off x="15632206" y="1871382"/>
          <a:ext cx="1501588" cy="50426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SV" sz="2400"/>
            <a:t>Actualizar</a:t>
          </a:r>
        </a:p>
      </xdr:txBody>
    </xdr:sp>
    <xdr:clientData/>
  </xdr:twoCellAnchor>
  <xdr:twoCellAnchor>
    <xdr:from>
      <xdr:col>6</xdr:col>
      <xdr:colOff>89647</xdr:colOff>
      <xdr:row>71</xdr:row>
      <xdr:rowOff>64061</xdr:rowOff>
    </xdr:from>
    <xdr:to>
      <xdr:col>21</xdr:col>
      <xdr:colOff>370755</xdr:colOff>
      <xdr:row>89</xdr:row>
      <xdr:rowOff>109042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5E3874A0-03A1-49FB-9D5C-2F150DB585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93961</xdr:colOff>
      <xdr:row>51</xdr:row>
      <xdr:rowOff>178156</xdr:rowOff>
    </xdr:from>
    <xdr:to>
      <xdr:col>21</xdr:col>
      <xdr:colOff>381419</xdr:colOff>
      <xdr:row>70</xdr:row>
      <xdr:rowOff>34555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FB65411E-B2D9-4B6F-B831-6E739B419D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702777777" backgroundQuery="1" createdVersion="8" refreshedVersion="6" minRefreshableVersion="3" recordCount="0" supportSubquery="1" supportAdvancedDrill="1" xr:uid="{150D7C52-96E7-4893-A0E6-E75BB8C25537}">
  <cacheSource type="external" connectionId="3"/>
  <cacheFields count="8">
    <cacheField name="[sabana].[Tipo de encuesta].[Tipo de encuesta]" caption="Tipo de encuesta" numFmtId="0" hierarchy="19" level="1">
      <sharedItems containsSemiMixedTypes="0" containsNonDate="0" containsString="0"/>
    </cacheField>
    <cacheField name="[sabana].[Supervisor].[Supervisor]" caption="Supervisor" numFmtId="0" hierarchy="15" level="1">
      <sharedItems count="4">
        <s v="Erick Morales"/>
        <s v="Henry Romero"/>
        <s v="Jaime Flores"/>
        <s v="Rodrigo Gomez"/>
      </sharedItems>
    </cacheField>
    <cacheField name="[Measures].[tNPS]" caption="tNPS" numFmtId="0" hierarchy="23" level="32767"/>
    <cacheField name="[Measures].[Conteo_Detractor]" caption="Conteo_Detractor" numFmtId="0" hierarchy="20" level="32767"/>
    <cacheField name="[Measures].[Conteo_Promotor]" caption="Conteo_Promotor" numFmtId="0" hierarchy="24" level="32767"/>
    <cacheField name="[Measures].[Conteo_Respuesta]" caption="Conteo_Respuesta" numFmtId="0" hierarchy="22" level="32767"/>
    <cacheField name="[Measures].[Conteo_Pasivo]" caption="Conteo_Pasivo" numFmtId="0" hierarchy="21" level="32767"/>
    <cacheField name="[sabana].[Canal].[Canal]" caption="Canal" numFmtId="0" hierarchy="17" level="1">
      <sharedItems containsSemiMixedTypes="0" containsNonDate="0" containsString="0"/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0" memberValueDatatype="130" unbalanced="0"/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1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>
      <fieldsUsage count="2">
        <fieldUsage x="-1"/>
        <fieldUsage x="7"/>
      </fieldsUsage>
    </cacheHierarchy>
    <cacheHierarchy uniqueName="[sabana].[Hora2]" caption="Hora2" attribute="1" defaultMemberUniqueName="[sabana].[Hora2].[All]" allUniqueName="[sabana].[Hora2].[All]" dimensionUniqueName="[sabana]" displayFolder="" count="0" memberValueDatatype="20" unbalanced="0"/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0"/>
      </fieldsUsage>
    </cacheHierarchy>
    <cacheHierarchy uniqueName="[Measures].[Conteo_Detractor]" caption="Conteo_Detractor" measure="1" displayFolder="" measureGroup="sabana" count="0" oneField="1">
      <fieldsUsage count="1">
        <fieldUsage x="3"/>
      </fieldsUsage>
    </cacheHierarchy>
    <cacheHierarchy uniqueName="[Measures].[Conteo_Pasivo]" caption="Conteo_Pasivo" measure="1" displayFolder="" measureGroup="sabana" count="0" oneField="1">
      <fieldsUsage count="1">
        <fieldUsage x="6"/>
      </fieldsUsage>
    </cacheHierarchy>
    <cacheHierarchy uniqueName="[Measures].[Conteo_Respuesta]" caption="Conteo_Respuesta" measure="1" displayFolder="" measureGroup="sabana" count="0" oneField="1">
      <fieldsUsage count="1">
        <fieldUsage x="5"/>
      </fieldsUsage>
    </cacheHierarchy>
    <cacheHierarchy uniqueName="[Measures].[tNPS]" caption="tNPS" measure="1" displayFolder="" measureGroup="sabana" count="0" oneField="1">
      <fieldsUsage count="1">
        <fieldUsage x="2"/>
      </fieldsUsage>
    </cacheHierarchy>
    <cacheHierarchy uniqueName="[Measures].[Conteo_Promotor]" caption="Conteo_Promotor" measure="1" displayFolder="" measureGroup="sabana" count="0" oneField="1">
      <fieldsUsage count="1">
        <fieldUsage x="4"/>
      </fieldsUsage>
    </cacheHierarchy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704745371" backgroundQuery="1" createdVersion="8" refreshedVersion="6" minRefreshableVersion="3" recordCount="0" supportSubquery="1" supportAdvancedDrill="1" xr:uid="{DEE33673-786F-4BA8-A475-6ABEF869A9C8}">
  <cacheSource type="external" connectionId="3"/>
  <cacheFields count="8">
    <cacheField name="[Measures].[Conteo_Promotor]" caption="Conteo_Promotor" numFmtId="0" hierarchy="24" level="32767"/>
    <cacheField name="[Measures].[Conteo_Pasivo]" caption="Conteo_Pasivo" numFmtId="0" hierarchy="21" level="32767"/>
    <cacheField name="[Measures].[Conteo_Detractor]" caption="Conteo_Detractor" numFmtId="0" hierarchy="20" level="32767"/>
    <cacheField name="[Measures].[Conteo_Respuesta]" caption="Conteo_Respuesta" numFmtId="0" hierarchy="22" level="32767"/>
    <cacheField name="[Measures].[tNPS]" caption="tNPS" numFmtId="0" hierarchy="23" level="32767"/>
    <cacheField name="[sabana].[Supervisor].[Supervisor]" caption="Supervisor" numFmtId="0" hierarchy="15" level="1">
      <sharedItems count="2">
        <s v="Henry Romero"/>
        <s v="Jaime Flores"/>
      </sharedItems>
    </cacheField>
    <cacheField name="[sabana].[Tipo de encuesta].[Tipo de encuesta]" caption="Tipo de encuesta" numFmtId="0" hierarchy="19" level="1">
      <sharedItems containsSemiMixedTypes="0" containsNonDate="0" containsString="0"/>
    </cacheField>
    <cacheField name="[sabana].[Canal].[Canal]" caption="Canal" numFmtId="0" hierarchy="17" level="1">
      <sharedItems containsSemiMixedTypes="0" containsNonDate="0" containsString="0"/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0" memberValueDatatype="130" unbalanced="0"/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5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>
      <fieldsUsage count="2">
        <fieldUsage x="-1"/>
        <fieldUsage x="7"/>
      </fieldsUsage>
    </cacheHierarchy>
    <cacheHierarchy uniqueName="[sabana].[Hora2]" caption="Hora2" attribute="1" defaultMemberUniqueName="[sabana].[Hora2].[All]" allUniqueName="[sabana].[Hora2].[All]" dimensionUniqueName="[sabana]" displayFolder="" count="0" memberValueDatatype="20" unbalanced="0"/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6"/>
      </fieldsUsage>
    </cacheHierarchy>
    <cacheHierarchy uniqueName="[Measures].[Conteo_Detractor]" caption="Conteo_Detractor" measure="1" displayFolder="" measureGroup="sabana" count="0" oneField="1">
      <fieldsUsage count="1">
        <fieldUsage x="2"/>
      </fieldsUsage>
    </cacheHierarchy>
    <cacheHierarchy uniqueName="[Measures].[Conteo_Pasivo]" caption="Conteo_Pasivo" measure="1" displayFolder="" measureGroup="sabana" count="0" oneField="1">
      <fieldsUsage count="1">
        <fieldUsage x="1"/>
      </fieldsUsage>
    </cacheHierarchy>
    <cacheHierarchy uniqueName="[Measures].[Conteo_Respuesta]" caption="Conteo_Respuesta" measure="1" displayFolder="" measureGroup="sabana" count="0" oneField="1">
      <fieldsUsage count="1">
        <fieldUsage x="3"/>
      </fieldsUsage>
    </cacheHierarchy>
    <cacheHierarchy uniqueName="[Measures].[tNPS]" caption="tNPS" measure="1" displayFolder="" measureGroup="sabana" count="0" oneField="1">
      <fieldsUsage count="1">
        <fieldUsage x="4"/>
      </fieldsUsage>
    </cacheHierarchy>
    <cacheHierarchy uniqueName="[Measures].[Conteo_Promotor]" caption="Conteo_Promotor" measure="1" displayFolder="" measureGroup="sabana" count="0" oneField="1">
      <fieldsUsage count="1">
        <fieldUsage x="0"/>
      </fieldsUsage>
    </cacheHierarchy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706944442" backgroundQuery="1" createdVersion="8" refreshedVersion="6" minRefreshableVersion="3" recordCount="0" supportSubquery="1" supportAdvancedDrill="1" xr:uid="{31AAE6DC-798B-4028-A3FA-C2DCDBA64D09}">
  <cacheSource type="external" connectionId="3"/>
  <cacheFields count="8">
    <cacheField name="[Measures].[Conteo_Promotor]" caption="Conteo_Promotor" numFmtId="0" hierarchy="24" level="32767"/>
    <cacheField name="[Measures].[Conteo_Pasivo]" caption="Conteo_Pasivo" numFmtId="0" hierarchy="21" level="32767"/>
    <cacheField name="[Measures].[Conteo_Detractor]" caption="Conteo_Detractor" numFmtId="0" hierarchy="20" level="32767"/>
    <cacheField name="[Measures].[Conteo_Respuesta]" caption="Conteo_Respuesta" numFmtId="0" hierarchy="22" level="32767"/>
    <cacheField name="[Measures].[tNPS]" caption="tNPS" numFmtId="0" hierarchy="23" level="32767"/>
    <cacheField name="[sabana].[Supervisor].[Supervisor]" caption="Supervisor" numFmtId="0" hierarchy="15" level="1">
      <sharedItems count="2">
        <s v="Erick Morales"/>
        <s v="Rodrigo Gomez"/>
      </sharedItems>
    </cacheField>
    <cacheField name="[sabana].[Tipo de encuesta].[Tipo de encuesta]" caption="Tipo de encuesta" numFmtId="0" hierarchy="19" level="1">
      <sharedItems containsSemiMixedTypes="0" containsNonDate="0" containsString="0"/>
    </cacheField>
    <cacheField name="[sabana].[Canal].[Canal]" caption="Canal" numFmtId="0" hierarchy="17" level="1">
      <sharedItems containsSemiMixedTypes="0" containsNonDate="0" containsString="0"/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0" memberValueDatatype="130" unbalanced="0"/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5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>
      <fieldsUsage count="2">
        <fieldUsage x="-1"/>
        <fieldUsage x="7"/>
      </fieldsUsage>
    </cacheHierarchy>
    <cacheHierarchy uniqueName="[sabana].[Hora2]" caption="Hora2" attribute="1" defaultMemberUniqueName="[sabana].[Hora2].[All]" allUniqueName="[sabana].[Hora2].[All]" dimensionUniqueName="[sabana]" displayFolder="" count="0" memberValueDatatype="20" unbalanced="0"/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6"/>
      </fieldsUsage>
    </cacheHierarchy>
    <cacheHierarchy uniqueName="[Measures].[Conteo_Detractor]" caption="Conteo_Detractor" measure="1" displayFolder="" measureGroup="sabana" count="0" oneField="1">
      <fieldsUsage count="1">
        <fieldUsage x="2"/>
      </fieldsUsage>
    </cacheHierarchy>
    <cacheHierarchy uniqueName="[Measures].[Conteo_Pasivo]" caption="Conteo_Pasivo" measure="1" displayFolder="" measureGroup="sabana" count="0" oneField="1">
      <fieldsUsage count="1">
        <fieldUsage x="1"/>
      </fieldsUsage>
    </cacheHierarchy>
    <cacheHierarchy uniqueName="[Measures].[Conteo_Respuesta]" caption="Conteo_Respuesta" measure="1" displayFolder="" measureGroup="sabana" count="0" oneField="1">
      <fieldsUsage count="1">
        <fieldUsage x="3"/>
      </fieldsUsage>
    </cacheHierarchy>
    <cacheHierarchy uniqueName="[Measures].[tNPS]" caption="tNPS" measure="1" displayFolder="" measureGroup="sabana" count="0" oneField="1">
      <fieldsUsage count="1">
        <fieldUsage x="4"/>
      </fieldsUsage>
    </cacheHierarchy>
    <cacheHierarchy uniqueName="[Measures].[Conteo_Promotor]" caption="Conteo_Promotor" measure="1" displayFolder="" measureGroup="sabana" count="0" oneField="1">
      <fieldsUsage count="1">
        <fieldUsage x="0"/>
      </fieldsUsage>
    </cacheHierarchy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708449074" backgroundQuery="1" createdVersion="8" refreshedVersion="6" minRefreshableVersion="3" recordCount="0" supportSubquery="1" supportAdvancedDrill="1" xr:uid="{B6C36C5F-822C-4703-A6EF-60C4CB5BA89A}">
  <cacheSource type="external" connectionId="3"/>
  <cacheFields count="9">
    <cacheField name="[sabana].[Operador Cierre].[Operador Cierre]" caption="Operador Cierre" numFmtId="0" hierarchy="3" level="1">
      <sharedItems count="54">
        <s v="adriana.quintana@clarosv"/>
        <s v="adriana.tamayo@clarosv"/>
        <s v="anar.escobar@clarosv"/>
        <s v="andrea.alvarenga@clarosv"/>
        <s v="anthony.valencia@clarosv"/>
        <s v="brenda.orellana@clarosv"/>
        <s v="carlos.mguzman@clarosv"/>
        <s v="carolina.escobar@clarosv"/>
        <s v="cindyr.moreira@clarosv"/>
        <s v="cinthya.reyes@clarosv"/>
        <s v="davida.cardonan@clarosv"/>
        <s v="derek.caballero@clarosv"/>
        <s v="diego.erazo@clarosv"/>
        <s v="edwin.madrid@clarosv"/>
        <s v="estefany.mendezg@clarosv"/>
        <s v="fabiola.vasquez@clarosv"/>
        <s v="gabriel.carballo@clarosv"/>
        <s v="gabriela.chavez@clarosv"/>
        <s v="gersoni.floresc@clarosv"/>
        <s v="gilma.barillas@clarosv"/>
        <s v="giovanna.trejo@clarosv"/>
        <s v="giovanni.perez@clarosv"/>
        <s v="guevara.katherine@clarosv"/>
        <s v="henry.matute@clarosv"/>
        <s v="ivonne.mezquita@clarosv"/>
        <s v="jaren.santacruz@clarosv"/>
        <s v="jessicae.molina@clarosv"/>
        <s v="josselyn.moran@clarosv"/>
        <s v="josue.andrade@clarosv"/>
        <s v="juan.amartinez@clarosv"/>
        <s v="katya.ventura@clarosv"/>
        <s v="kevin.sanchezs@clarosv"/>
        <s v="lissette.quinteros@clarosv"/>
        <s v="lopezr.kevin@clarosv"/>
        <s v="luism.moreno@clarosv"/>
        <s v="mariaf.cortez@clarosv"/>
        <s v="mariax.hernandez@clarosv"/>
        <s v="mario.eperez@clarosv"/>
        <s v="marlong.garcia@clarosv"/>
        <s v="marvin.perezm@clarosv"/>
        <s v="melissa.pereza@clarosv"/>
        <s v="munoz.alejandra@clarosv"/>
        <s v="nelsonv.rivera@clarosv"/>
        <s v="omar.asensio@clarosv"/>
        <s v="oscar.perezp@clarosv"/>
        <s v="oscar.rogel@clarosv"/>
        <s v="oscarb.romero@clarosv"/>
        <s v="pamela.torresr@clarosv"/>
        <s v="rigoberto.magana@clarosv"/>
        <s v="rodrigoa.martinez@clarosv"/>
        <s v="silvia.arita@clarosv"/>
        <s v="tatiana.escobare@clarosv"/>
        <s v="valeriaj.garcia@clarosv"/>
        <s v="victorm.marroquin@clarosv"/>
      </sharedItems>
    </cacheField>
    <cacheField name="[Measures].[Conteo_Promotor]" caption="Conteo_Promotor" numFmtId="0" hierarchy="24" level="32767"/>
    <cacheField name="[Measures].[Conteo_Pasivo]" caption="Conteo_Pasivo" numFmtId="0" hierarchy="21" level="32767"/>
    <cacheField name="[Measures].[Conteo_Detractor]" caption="Conteo_Detractor" numFmtId="0" hierarchy="20" level="32767"/>
    <cacheField name="[Measures].[Conteo_Respuesta]" caption="Conteo_Respuesta" numFmtId="0" hierarchy="22" level="32767"/>
    <cacheField name="[Measures].[tNPS]" caption="tNPS" numFmtId="0" hierarchy="23" level="32767"/>
    <cacheField name="[sabana].[Tipo de encuesta].[Tipo de encuesta]" caption="Tipo de encuesta" numFmtId="0" hierarchy="19" level="1">
      <sharedItems containsSemiMixedTypes="0" containsNonDate="0" containsString="0"/>
    </cacheField>
    <cacheField name="[sabana].[Supervisor].[Supervisor]" caption="Supervisor" numFmtId="0" hierarchy="15" level="1">
      <sharedItems containsSemiMixedTypes="0" containsNonDate="0" containsString="0"/>
    </cacheField>
    <cacheField name="[sabana].[Canal].[Canal]" caption="Canal" numFmtId="0" hierarchy="17" level="1">
      <sharedItems containsSemiMixedTypes="0" containsNonDate="0" containsString="0"/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2" memberValueDatatype="130" unbalanced="0">
      <fieldsUsage count="2">
        <fieldUsage x="-1"/>
        <fieldUsage x="0"/>
      </fieldsUsage>
    </cacheHierarchy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7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>
      <fieldsUsage count="2">
        <fieldUsage x="-1"/>
        <fieldUsage x="8"/>
      </fieldsUsage>
    </cacheHierarchy>
    <cacheHierarchy uniqueName="[sabana].[Hora2]" caption="Hora2" attribute="1" defaultMemberUniqueName="[sabana].[Hora2].[All]" allUniqueName="[sabana].[Hora2].[All]" dimensionUniqueName="[sabana]" displayFolder="" count="0" memberValueDatatype="20" unbalanced="0"/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6"/>
      </fieldsUsage>
    </cacheHierarchy>
    <cacheHierarchy uniqueName="[Measures].[Conteo_Detractor]" caption="Conteo_Detractor" measure="1" displayFolder="" measureGroup="sabana" count="0" oneField="1">
      <fieldsUsage count="1">
        <fieldUsage x="3"/>
      </fieldsUsage>
    </cacheHierarchy>
    <cacheHierarchy uniqueName="[Measures].[Conteo_Pasivo]" caption="Conteo_Pasivo" measure="1" displayFolder="" measureGroup="sabana" count="0" oneField="1">
      <fieldsUsage count="1">
        <fieldUsage x="2"/>
      </fieldsUsage>
    </cacheHierarchy>
    <cacheHierarchy uniqueName="[Measures].[Conteo_Respuesta]" caption="Conteo_Respuesta" measure="1" displayFolder="" measureGroup="sabana" count="0" oneField="1">
      <fieldsUsage count="1">
        <fieldUsage x="4"/>
      </fieldsUsage>
    </cacheHierarchy>
    <cacheHierarchy uniqueName="[Measures].[tNPS]" caption="tNPS" measure="1" displayFolder="" measureGroup="sabana" count="0" oneField="1">
      <fieldsUsage count="1">
        <fieldUsage x="5"/>
      </fieldsUsage>
    </cacheHierarchy>
    <cacheHierarchy uniqueName="[Measures].[Conteo_Promotor]" caption="Conteo_Promotor" measure="1" displayFolder="" measureGroup="sabana" count="0" oneField="1">
      <fieldsUsage count="1">
        <fieldUsage x="1"/>
      </fieldsUsage>
    </cacheHierarchy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380763889" backgroundQuery="1" createdVersion="8" refreshedVersion="6" minRefreshableVersion="3" recordCount="0" supportSubquery="1" supportAdvancedDrill="1" xr:uid="{44F86803-2CC9-49C0-97AE-498C475F89A0}">
  <cacheSource type="external" connectionId="3"/>
  <cacheFields count="9">
    <cacheField name="[sabana].[Operador Cierre].[Operador Cierre]" caption="Operador Cierre" numFmtId="0" hierarchy="3" level="1">
      <sharedItems count="54">
        <s v="adriana.quintana@clarosv"/>
        <s v="adriana.tamayo@clarosv"/>
        <s v="anar.escobar@clarosv"/>
        <s v="andrea.alvarenga@clarosv"/>
        <s v="anthony.valencia@clarosv"/>
        <s v="brenda.orellana@clarosv"/>
        <s v="carlos.mguzman@clarosv"/>
        <s v="carolina.escobar@clarosv"/>
        <s v="cindyr.moreira@clarosv"/>
        <s v="cinthya.reyes@clarosv"/>
        <s v="davida.cardonan@clarosv"/>
        <s v="derek.caballero@clarosv"/>
        <s v="diego.erazo@clarosv"/>
        <s v="edwin.madrid@clarosv"/>
        <s v="estefany.mendezg@clarosv"/>
        <s v="fabiola.vasquez@clarosv"/>
        <s v="gabriel.carballo@clarosv"/>
        <s v="gabriela.chavez@clarosv"/>
        <s v="gersoni.floresc@clarosv"/>
        <s v="gilma.barillas@clarosv"/>
        <s v="giovanna.trejo@clarosv"/>
        <s v="giovanni.perez@clarosv"/>
        <s v="guevara.katherine@clarosv"/>
        <s v="henry.matute@clarosv"/>
        <s v="ivonne.mezquita@clarosv"/>
        <s v="jaren.santacruz@clarosv"/>
        <s v="jessicae.molina@clarosv"/>
        <s v="josselyn.moran@clarosv"/>
        <s v="josue.andrade@clarosv"/>
        <s v="juan.amartinez@clarosv"/>
        <s v="katya.ventura@clarosv"/>
        <s v="kevin.sanchezs@clarosv"/>
        <s v="lissette.quinteros@clarosv"/>
        <s v="lopezr.kevin@clarosv"/>
        <s v="luism.moreno@clarosv"/>
        <s v="mariaf.cortez@clarosv"/>
        <s v="mariax.hernandez@clarosv"/>
        <s v="mario.eperez@clarosv"/>
        <s v="marlong.garcia@clarosv"/>
        <s v="marvin.perezm@clarosv"/>
        <s v="melissa.pereza@clarosv"/>
        <s v="munoz.alejandra@clarosv"/>
        <s v="nelsonv.rivera@clarosv"/>
        <s v="omar.asensio@clarosv"/>
        <s v="oscar.perezp@clarosv"/>
        <s v="oscar.rogel@clarosv"/>
        <s v="oscarb.romero@clarosv"/>
        <s v="pamela.torresr@clarosv"/>
        <s v="rigoberto.magana@clarosv"/>
        <s v="rodrigoa.martinez@clarosv"/>
        <s v="silvia.arita@clarosv"/>
        <s v="tatiana.escobare@clarosv"/>
        <s v="valeriaj.garcia@clarosv"/>
        <s v="victorm.marroquin@clarosv"/>
      </sharedItems>
    </cacheField>
    <cacheField name="[Measures].[Conteo_Detractor]" caption="Conteo_Detractor" numFmtId="0" hierarchy="20" level="32767"/>
    <cacheField name="[sabana].[Tipo de encuesta].[Tipo de encuesta]" caption="Tipo de encuesta" numFmtId="0" hierarchy="19" level="1">
      <sharedItems containsSemiMixedTypes="0" containsNonDate="0" containsString="0"/>
    </cacheField>
    <cacheField name="[sabana].[Id usuario].[Id usuario]" caption="Id usuario" numFmtId="0" hierarchy="4" level="1">
      <sharedItems count="10">
        <s v="50360006562"/>
        <s v="50374489418"/>
        <s v="50369551807"/>
        <s v="50376183407"/>
        <s v="50376214920"/>
        <s v="50379144714"/>
        <s v="50379561814"/>
        <s v="50371541280"/>
        <s v="50377512624"/>
        <s v="50379974420"/>
      </sharedItems>
    </cacheField>
    <cacheField name="[Measures].[Conteo_Pasivo]" caption="Conteo_Pasivo" numFmtId="0" hierarchy="21" level="32767"/>
    <cacheField name="[Measures].[tNPS]" caption="tNPS" numFmtId="0" hierarchy="23" level="32767"/>
    <cacheField name="[sabana].[Supervisor].[Supervisor]" caption="Supervisor" numFmtId="0" hierarchy="15" level="1">
      <sharedItems containsSemiMixedTypes="0" containsNonDate="0" containsString="0"/>
    </cacheField>
    <cacheField name="[sabana].[Clasificacion].[Clasificacion]" caption="Clasificacion" numFmtId="0" hierarchy="14" level="1">
      <sharedItems containsSemiMixedTypes="0" containsNonDate="0" containsString="0"/>
    </cacheField>
    <cacheField name="[sabana].[comments].[comments]" caption="comments" numFmtId="0" hierarchy="13" level="1">
      <sharedItems count="4">
        <s v="No me ayudan en resolver"/>
        <s v="0"/>
        <s v="NO ME AYUDARON EN NADAAAA"/>
        <s v="He tenido muy mala experiencia con Claro"/>
      </sharedItems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2" memberValueDatatype="130" unbalanced="0">
      <fieldsUsage count="2">
        <fieldUsage x="-1"/>
        <fieldUsage x="0"/>
      </fieldsUsage>
    </cacheHierarchy>
    <cacheHierarchy uniqueName="[sabana].[Id usuario]" caption="Id usuario" attribute="1" defaultMemberUniqueName="[sabana].[Id usuario].[All]" allUniqueName="[sabana].[Id usuario].[All]" dimensionUniqueName="[sabana]" displayFolder="" count="2" memberValueDatatype="130" unbalanced="0">
      <fieldsUsage count="2">
        <fieldUsage x="-1"/>
        <fieldUsage x="3"/>
      </fieldsUsage>
    </cacheHierarchy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2" memberValueDatatype="130" unbalanced="0">
      <fieldsUsage count="2">
        <fieldUsage x="-1"/>
        <fieldUsage x="8"/>
      </fieldsUsage>
    </cacheHierarchy>
    <cacheHierarchy uniqueName="[sabana].[Clasificacion]" caption="Clasificacion" attribute="1" defaultMemberUniqueName="[sabana].[Clasificacion].[All]" allUniqueName="[sabana].[Clasificacion].[All]" dimensionUniqueName="[sabana]" displayFolder="" count="2" memberValueDatatype="130" unbalanced="0">
      <fieldsUsage count="2">
        <fieldUsage x="-1"/>
        <fieldUsage x="7"/>
      </fieldsUsage>
    </cacheHierarchy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6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/>
    <cacheHierarchy uniqueName="[sabana].[Hora2]" caption="Hora2" attribute="1" defaultMemberUniqueName="[sabana].[Hora2].[All]" allUniqueName="[sabana].[Hora2].[All]" dimensionUniqueName="[sabana]" displayFolder="" count="0" memberValueDatatype="20" unbalanced="0"/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2"/>
      </fieldsUsage>
    </cacheHierarchy>
    <cacheHierarchy uniqueName="[Measures].[Conteo_Detractor]" caption="Conteo_Detractor" measure="1" displayFolder="" measureGroup="sabana" count="0" oneField="1">
      <fieldsUsage count="1">
        <fieldUsage x="1"/>
      </fieldsUsage>
    </cacheHierarchy>
    <cacheHierarchy uniqueName="[Measures].[Conteo_Pasivo]" caption="Conteo_Pasivo" measure="1" displayFolder="" measureGroup="sabana" count="0" oneField="1">
      <fieldsUsage count="1">
        <fieldUsage x="4"/>
      </fieldsUsage>
    </cacheHierarchy>
    <cacheHierarchy uniqueName="[Measures].[Conteo_Respuesta]" caption="Conteo_Respuesta" measure="1" displayFolder="" measureGroup="sabana" count="0"/>
    <cacheHierarchy uniqueName="[Measures].[tNPS]" caption="tNPS" measure="1" displayFolder="" measureGroup="sabana" count="0" oneField="1">
      <fieldsUsage count="1">
        <fieldUsage x="5"/>
      </fieldsUsage>
    </cacheHierarchy>
    <cacheHierarchy uniqueName="[Measures].[Conteo_Promotor]" caption="Conteo_Promotor" measure="1" displayFolder="" measureGroup="sabana" count="0"/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692476855" backgroundQuery="1" createdVersion="3" refreshedVersion="6" minRefreshableVersion="3" recordCount="0" supportSubquery="1" supportAdvancedDrill="1" xr:uid="{1B287F08-D437-43BD-A57A-C86219EBF593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0" memberValueDatatype="130" unbalanced="0"/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/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/>
    <cacheHierarchy uniqueName="[sabana].[Hora2]" caption="Hora2" attribute="1" defaultMemberUniqueName="[sabana].[Hora2].[All]" allUniqueName="[sabana].[Hora2].[All]" dimensionUniqueName="[sabana]" displayFolder="" count="0" memberValueDatatype="20" unbalanced="0"/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/>
    <cacheHierarchy uniqueName="[Measures].[Conteo_Detractor]" caption="Conteo_Detractor" measure="1" displayFolder="" measureGroup="sabana" count="0"/>
    <cacheHierarchy uniqueName="[Measures].[Conteo_Pasivo]" caption="Conteo_Pasivo" measure="1" displayFolder="" measureGroup="sabana" count="0"/>
    <cacheHierarchy uniqueName="[Measures].[Conteo_Respuesta]" caption="Conteo_Respuesta" measure="1" displayFolder="" measureGroup="sabana" count="0"/>
    <cacheHierarchy uniqueName="[Measures].[tNPS]" caption="tNPS" measure="1" displayFolder="" measureGroup="sabana" count="0"/>
    <cacheHierarchy uniqueName="[Measures].[Conteo_Promotor]" caption="Conteo_Promotor" measure="1" displayFolder="" measureGroup="sabana" count="0"/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105313128"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695370372" backgroundQuery="1" createdVersion="8" refreshedVersion="6" minRefreshableVersion="3" recordCount="0" supportSubquery="1" supportAdvancedDrill="1" xr:uid="{A7365FB6-A984-482B-8B9F-6989C6D64B8C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Measures].[tNPS]" caption="tNPS" numFmtId="0" hierarchy="23" level="32767"/>
    <cacheField name="[sabana].[Hora2].[Hora2]" caption="Hora2" numFmtId="0" hierarchy="18" level="1">
      <sharedItems containsSemiMixedTypes="0" containsString="0" containsNumber="1" containsInteger="1" minValue="0" maxValue="21" count="19">
        <n v="0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  <extLst>
        <ext xmlns:x15="http://schemas.microsoft.com/office/spreadsheetml/2010/11/main" uri="{4F2E5C28-24EA-4eb8-9CBF-B6C8F9C3D259}">
          <x15:cachedUniqueNames>
            <x15:cachedUniqueName index="0" name="[sabana].[Hora2].&amp;[0]"/>
            <x15:cachedUniqueName index="1" name="[sabana].[Hora2].&amp;[4]"/>
            <x15:cachedUniqueName index="2" name="[sabana].[Hora2].&amp;[5]"/>
            <x15:cachedUniqueName index="3" name="[sabana].[Hora2].&amp;[6]"/>
            <x15:cachedUniqueName index="4" name="[sabana].[Hora2].&amp;[7]"/>
            <x15:cachedUniqueName index="5" name="[sabana].[Hora2].&amp;[8]"/>
            <x15:cachedUniqueName index="6" name="[sabana].[Hora2].&amp;[9]"/>
            <x15:cachedUniqueName index="7" name="[sabana].[Hora2].&amp;[10]"/>
            <x15:cachedUniqueName index="8" name="[sabana].[Hora2].&amp;[11]"/>
            <x15:cachedUniqueName index="9" name="[sabana].[Hora2].&amp;[12]"/>
            <x15:cachedUniqueName index="10" name="[sabana].[Hora2].&amp;[13]"/>
            <x15:cachedUniqueName index="11" name="[sabana].[Hora2].&amp;[14]"/>
            <x15:cachedUniqueName index="12" name="[sabana].[Hora2].&amp;[15]"/>
            <x15:cachedUniqueName index="13" name="[sabana].[Hora2].&amp;[16]"/>
            <x15:cachedUniqueName index="14" name="[sabana].[Hora2].&amp;[17]"/>
            <x15:cachedUniqueName index="15" name="[sabana].[Hora2].&amp;[18]"/>
            <x15:cachedUniqueName index="16" name="[sabana].[Hora2].&amp;[19]"/>
            <x15:cachedUniqueName index="17" name="[sabana].[Hora2].&amp;[20]"/>
            <x15:cachedUniqueName index="18" name="[sabana].[Hora2].&amp;[21]"/>
          </x15:cachedUniqueNames>
        </ext>
      </extLst>
    </cacheField>
    <cacheField name="[sabana].[Tipo de encuesta].[Tipo de encuesta]" caption="Tipo de encuesta" numFmtId="0" hierarchy="19" level="1">
      <sharedItems containsSemiMixedTypes="0" containsNonDate="0" containsString="0"/>
    </cacheField>
    <cacheField name="[sabana].[Supervisor].[Supervisor]" caption="Supervisor" numFmtId="0" hierarchy="15" level="1">
      <sharedItems containsSemiMixedTypes="0" containsNonDate="0" containsString="0"/>
    </cacheField>
    <cacheField name="[sabana].[Canal].[Canal]" caption="Canal" numFmtId="0" hierarchy="17" level="1">
      <sharedItems containsSemiMixedTypes="0" containsNonDate="0" containsString="0"/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0" memberValueDatatype="130" unbalanced="0"/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3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>
      <fieldsUsage count="2">
        <fieldUsage x="-1"/>
        <fieldUsage x="4"/>
      </fieldsUsage>
    </cacheHierarchy>
    <cacheHierarchy uniqueName="[sabana].[Hora2]" caption="Hora2" attribute="1" defaultMemberUniqueName="[sabana].[Hora2].[All]" allUniqueName="[sabana].[Hora2].[All]" dimensionUniqueName="[sabana]" displayFolder="" count="2" memberValueDatatype="20" unbalanced="0">
      <fieldsUsage count="2">
        <fieldUsage x="-1"/>
        <fieldUsage x="1"/>
      </fieldsUsage>
    </cacheHierarchy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2"/>
      </fieldsUsage>
    </cacheHierarchy>
    <cacheHierarchy uniqueName="[Measures].[Conteo_Detractor]" caption="Conteo_Detractor" measure="1" displayFolder="" measureGroup="sabana" count="0"/>
    <cacheHierarchy uniqueName="[Measures].[Conteo_Pasivo]" caption="Conteo_Pasivo" measure="1" displayFolder="" measureGroup="sabana" count="0"/>
    <cacheHierarchy uniqueName="[Measures].[Conteo_Respuesta]" caption="Conteo_Respuesta" measure="1" displayFolder="" measureGroup="sabana" count="0"/>
    <cacheHierarchy uniqueName="[Measures].[tNPS]" caption="tNPS" measure="1" displayFolder="" measureGroup="sabana" count="0" oneField="1">
      <fieldsUsage count="1">
        <fieldUsage x="0"/>
      </fieldsUsage>
    </cacheHierarchy>
    <cacheHierarchy uniqueName="[Measures].[Conteo_Promotor]" caption="Conteo_Promotor" measure="1" displayFolder="" measureGroup="sabana" count="0"/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69299970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696180558" backgroundQuery="1" createdVersion="8" refreshedVersion="6" minRefreshableVersion="3" recordCount="0" supportSubquery="1" supportAdvancedDrill="1" xr:uid="{E3ED46ED-5E19-4C51-94D4-DDF71A81996F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Measures].[Conteo_Respuesta]" caption="Conteo_Respuesta" numFmtId="0" hierarchy="22" level="32767"/>
    <cacheField name="[sabana].[Tipo de encuesta].[Tipo de encuesta]" caption="Tipo de encuesta" numFmtId="0" hierarchy="19" level="1">
      <sharedItems containsSemiMixedTypes="0" containsNonDate="0" containsString="0"/>
    </cacheField>
    <cacheField name="[sabana].[Supervisor].[Supervisor]" caption="Supervisor" numFmtId="0" hierarchy="15" level="1">
      <sharedItems containsSemiMixedTypes="0" containsNonDate="0" containsString="0"/>
    </cacheField>
    <cacheField name="[sabana].[Canal].[Canal]" caption="Canal" numFmtId="0" hierarchy="17" level="1">
      <sharedItems containsSemiMixedTypes="0" containsNonDate="0" containsString="0"/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0" memberValueDatatype="130" unbalanced="0"/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2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>
      <fieldsUsage count="2">
        <fieldUsage x="-1"/>
        <fieldUsage x="3"/>
      </fieldsUsage>
    </cacheHierarchy>
    <cacheHierarchy uniqueName="[sabana].[Hora2]" caption="Hora2" attribute="1" defaultMemberUniqueName="[sabana].[Hora2].[All]" allUniqueName="[sabana].[Hora2].[All]" dimensionUniqueName="[sabana]" displayFolder="" count="0" memberValueDatatype="20" unbalanced="0"/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1"/>
      </fieldsUsage>
    </cacheHierarchy>
    <cacheHierarchy uniqueName="[Measures].[Conteo_Detractor]" caption="Conteo_Detractor" measure="1" displayFolder="" measureGroup="sabana" count="0"/>
    <cacheHierarchy uniqueName="[Measures].[Conteo_Pasivo]" caption="Conteo_Pasivo" measure="1" displayFolder="" measureGroup="sabana" count="0"/>
    <cacheHierarchy uniqueName="[Measures].[Conteo_Respuesta]" caption="Conteo_Respuesta" measure="1" displayFolder="" measureGroup="sabana" count="0" oneField="1">
      <fieldsUsage count="1">
        <fieldUsage x="0"/>
      </fieldsUsage>
    </cacheHierarchy>
    <cacheHierarchy uniqueName="[Measures].[tNPS]" caption="tNPS" measure="1" displayFolder="" measureGroup="sabana" count="0"/>
    <cacheHierarchy uniqueName="[Measures].[Conteo_Promotor]" caption="Conteo_Promotor" measure="1" displayFolder="" measureGroup="sabana" count="0"/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10397415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696990743" backgroundQuery="1" createdVersion="8" refreshedVersion="6" minRefreshableVersion="3" recordCount="0" supportSubquery="1" supportAdvancedDrill="1" xr:uid="{839E3549-40EC-4250-A97E-78FECDEACCB4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Measures].[tNPS]" caption="tNPS" numFmtId="0" hierarchy="23" level="32767"/>
    <cacheField name="[sabana].[Tipo de encuesta].[Tipo de encuesta]" caption="Tipo de encuesta" numFmtId="0" hierarchy="19" level="1">
      <sharedItems containsSemiMixedTypes="0" containsNonDate="0" containsString="0"/>
    </cacheField>
    <cacheField name="[sabana].[Supervisor].[Supervisor]" caption="Supervisor" numFmtId="0" hierarchy="15" level="1">
      <sharedItems containsSemiMixedTypes="0" containsNonDate="0" containsString="0"/>
    </cacheField>
    <cacheField name="[sabana].[Canal].[Canal]" caption="Canal" numFmtId="0" hierarchy="17" level="1">
      <sharedItems containsSemiMixedTypes="0" containsNonDate="0" containsString="0"/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0" memberValueDatatype="130" unbalanced="0"/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2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>
      <fieldsUsage count="2">
        <fieldUsage x="-1"/>
        <fieldUsage x="3"/>
      </fieldsUsage>
    </cacheHierarchy>
    <cacheHierarchy uniqueName="[sabana].[Hora2]" caption="Hora2" attribute="1" defaultMemberUniqueName="[sabana].[Hora2].[All]" allUniqueName="[sabana].[Hora2].[All]" dimensionUniqueName="[sabana]" displayFolder="" count="0" memberValueDatatype="20" unbalanced="0"/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1"/>
      </fieldsUsage>
    </cacheHierarchy>
    <cacheHierarchy uniqueName="[Measures].[Conteo_Detractor]" caption="Conteo_Detractor" measure="1" displayFolder="" measureGroup="sabana" count="0"/>
    <cacheHierarchy uniqueName="[Measures].[Conteo_Pasivo]" caption="Conteo_Pasivo" measure="1" displayFolder="" measureGroup="sabana" count="0"/>
    <cacheHierarchy uniqueName="[Measures].[Conteo_Respuesta]" caption="Conteo_Respuesta" measure="1" displayFolder="" measureGroup="sabana" count="0"/>
    <cacheHierarchy uniqueName="[Measures].[tNPS]" caption="tNPS" measure="1" displayFolder="" measureGroup="sabana" count="0" oneField="1">
      <fieldsUsage count="1">
        <fieldUsage x="0"/>
      </fieldsUsage>
    </cacheHierarchy>
    <cacheHierarchy uniqueName="[Measures].[Conteo_Promotor]" caption="Conteo_Promotor" measure="1" displayFolder="" measureGroup="sabana" count="0"/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52476629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697800928" backgroundQuery="1" createdVersion="8" refreshedVersion="6" minRefreshableVersion="3" recordCount="0" supportSubquery="1" supportAdvancedDrill="1" xr:uid="{A6CA24DE-AF3B-4B8A-B2F8-C38407B9B00D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Measures].[Conteo_Promotor]" caption="Conteo_Promotor" numFmtId="0" hierarchy="24" level="32767"/>
    <cacheField name="[Measures].[Conteo_Detractor]" caption="Conteo_Detractor" numFmtId="0" hierarchy="20" level="32767"/>
    <cacheField name="[sabana].[Tipo de encuesta].[Tipo de encuesta]" caption="Tipo de encuesta" numFmtId="0" hierarchy="19" level="1">
      <sharedItems containsSemiMixedTypes="0" containsNonDate="0" containsString="0"/>
    </cacheField>
    <cacheField name="[sabana].[Supervisor].[Supervisor]" caption="Supervisor" numFmtId="0" hierarchy="15" level="1">
      <sharedItems containsSemiMixedTypes="0" containsNonDate="0" containsString="0"/>
    </cacheField>
    <cacheField name="[sabana].[Canal].[Canal]" caption="Canal" numFmtId="0" hierarchy="17" level="1">
      <sharedItems containsSemiMixedTypes="0" containsNonDate="0" containsString="0"/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0" memberValueDatatype="130" unbalanced="0"/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3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>
      <fieldsUsage count="2">
        <fieldUsage x="-1"/>
        <fieldUsage x="4"/>
      </fieldsUsage>
    </cacheHierarchy>
    <cacheHierarchy uniqueName="[sabana].[Hora2]" caption="Hora2" attribute="1" defaultMemberUniqueName="[sabana].[Hora2].[All]" allUniqueName="[sabana].[Hora2].[All]" dimensionUniqueName="[sabana]" displayFolder="" count="0" memberValueDatatype="20" unbalanced="0"/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2"/>
      </fieldsUsage>
    </cacheHierarchy>
    <cacheHierarchy uniqueName="[Measures].[Conteo_Detractor]" caption="Conteo_Detractor" measure="1" displayFolder="" measureGroup="sabana" count="0" oneField="1">
      <fieldsUsage count="1">
        <fieldUsage x="1"/>
      </fieldsUsage>
    </cacheHierarchy>
    <cacheHierarchy uniqueName="[Measures].[Conteo_Pasivo]" caption="Conteo_Pasivo" measure="1" displayFolder="" measureGroup="sabana" count="0"/>
    <cacheHierarchy uniqueName="[Measures].[Conteo_Respuesta]" caption="Conteo_Respuesta" measure="1" displayFolder="" measureGroup="sabana" count="0"/>
    <cacheHierarchy uniqueName="[Measures].[tNPS]" caption="tNPS" measure="1" displayFolder="" measureGroup="sabana" count="0"/>
    <cacheHierarchy uniqueName="[Measures].[Conteo_Promotor]" caption="Conteo_Promotor" measure="1" displayFolder="" measureGroup="sabana" count="0" oneField="1">
      <fieldsUsage count="1">
        <fieldUsage x="0"/>
      </fieldsUsage>
    </cacheHierarchy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38789407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698958336" backgroundQuery="1" createdVersion="8" refreshedVersion="6" minRefreshableVersion="3" recordCount="0" supportSubquery="1" supportAdvancedDrill="1" xr:uid="{E112F09C-EF06-4583-9488-9247F93C36EC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Measures].[nota_cero]" caption="nota_cero" numFmtId="0" hierarchy="25" level="32767"/>
    <cacheField name="[Measures].[nota_diez]" caption="nota_diez" numFmtId="0" hierarchy="26" level="32767"/>
    <cacheField name="[sabana].[Tipo de encuesta].[Tipo de encuesta]" caption="Tipo de encuesta" numFmtId="0" hierarchy="19" level="1">
      <sharedItems containsSemiMixedTypes="0" containsNonDate="0" containsString="0"/>
    </cacheField>
    <cacheField name="[sabana].[Supervisor].[Supervisor]" caption="Supervisor" numFmtId="0" hierarchy="15" level="1">
      <sharedItems containsSemiMixedTypes="0" containsNonDate="0" containsString="0"/>
    </cacheField>
    <cacheField name="[sabana].[Canal].[Canal]" caption="Canal" numFmtId="0" hierarchy="17" level="1">
      <sharedItems containsSemiMixedTypes="0" containsNonDate="0" containsString="0"/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0" memberValueDatatype="130" unbalanced="0"/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3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>
      <fieldsUsage count="2">
        <fieldUsage x="-1"/>
        <fieldUsage x="4"/>
      </fieldsUsage>
    </cacheHierarchy>
    <cacheHierarchy uniqueName="[sabana].[Hora2]" caption="Hora2" attribute="1" defaultMemberUniqueName="[sabana].[Hora2].[All]" allUniqueName="[sabana].[Hora2].[All]" dimensionUniqueName="[sabana]" displayFolder="" count="0" memberValueDatatype="20" unbalanced="0"/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2"/>
      </fieldsUsage>
    </cacheHierarchy>
    <cacheHierarchy uniqueName="[Measures].[Conteo_Detractor]" caption="Conteo_Detractor" measure="1" displayFolder="" measureGroup="sabana" count="0"/>
    <cacheHierarchy uniqueName="[Measures].[Conteo_Pasivo]" caption="Conteo_Pasivo" measure="1" displayFolder="" measureGroup="sabana" count="0"/>
    <cacheHierarchy uniqueName="[Measures].[Conteo_Respuesta]" caption="Conteo_Respuesta" measure="1" displayFolder="" measureGroup="sabana" count="0"/>
    <cacheHierarchy uniqueName="[Measures].[tNPS]" caption="tNPS" measure="1" displayFolder="" measureGroup="sabana" count="0"/>
    <cacheHierarchy uniqueName="[Measures].[Conteo_Promotor]" caption="Conteo_Promotor" measure="1" displayFolder="" measureGroup="sabana" count="0"/>
    <cacheHierarchy uniqueName="[Measures].[nota_cero]" caption="nota_cero" measure="1" displayFolder="" measureGroup="sabana" count="0" oneField="1">
      <fieldsUsage count="1">
        <fieldUsage x="0"/>
      </fieldsUsage>
    </cacheHierarchy>
    <cacheHierarchy uniqueName="[Measures].[nota_diez]" caption="nota_diez" measure="1" displayFolder="" measureGroup="sabana" count="0" oneField="1">
      <fieldsUsage count="1">
        <fieldUsage x="1"/>
      </fieldsUsage>
    </cacheHierarchy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5183887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699999999" backgroundQuery="1" createdVersion="8" refreshedVersion="6" minRefreshableVersion="3" recordCount="0" supportSubquery="1" supportAdvancedDrill="1" xr:uid="{0399DEC1-6929-44F9-B8DE-9495E7BEBF28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sabana].[Hora2].[Hora2]" caption="Hora2" numFmtId="0" hierarchy="18" level="1">
      <sharedItems containsSemiMixedTypes="0" containsString="0" containsNumber="1" containsInteger="1" minValue="0" maxValue="21" count="19">
        <n v="0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  <extLst>
        <ext xmlns:x15="http://schemas.microsoft.com/office/spreadsheetml/2010/11/main" uri="{4F2E5C28-24EA-4eb8-9CBF-B6C8F9C3D259}">
          <x15:cachedUniqueNames>
            <x15:cachedUniqueName index="0" name="[sabana].[Hora2].&amp;[0]"/>
            <x15:cachedUniqueName index="1" name="[sabana].[Hora2].&amp;[4]"/>
            <x15:cachedUniqueName index="2" name="[sabana].[Hora2].&amp;[5]"/>
            <x15:cachedUniqueName index="3" name="[sabana].[Hora2].&amp;[6]"/>
            <x15:cachedUniqueName index="4" name="[sabana].[Hora2].&amp;[7]"/>
            <x15:cachedUniqueName index="5" name="[sabana].[Hora2].&amp;[8]"/>
            <x15:cachedUniqueName index="6" name="[sabana].[Hora2].&amp;[9]"/>
            <x15:cachedUniqueName index="7" name="[sabana].[Hora2].&amp;[10]"/>
            <x15:cachedUniqueName index="8" name="[sabana].[Hora2].&amp;[11]"/>
            <x15:cachedUniqueName index="9" name="[sabana].[Hora2].&amp;[12]"/>
            <x15:cachedUniqueName index="10" name="[sabana].[Hora2].&amp;[13]"/>
            <x15:cachedUniqueName index="11" name="[sabana].[Hora2].&amp;[14]"/>
            <x15:cachedUniqueName index="12" name="[sabana].[Hora2].&amp;[15]"/>
            <x15:cachedUniqueName index="13" name="[sabana].[Hora2].&amp;[16]"/>
            <x15:cachedUniqueName index="14" name="[sabana].[Hora2].&amp;[17]"/>
            <x15:cachedUniqueName index="15" name="[sabana].[Hora2].&amp;[18]"/>
            <x15:cachedUniqueName index="16" name="[sabana].[Hora2].&amp;[19]"/>
            <x15:cachedUniqueName index="17" name="[sabana].[Hora2].&amp;[20]"/>
            <x15:cachedUniqueName index="18" name="[sabana].[Hora2].&amp;[21]"/>
          </x15:cachedUniqueNames>
        </ext>
      </extLst>
    </cacheField>
    <cacheField name="[Measures].[Conteo_Respuesta]" caption="Conteo_Respuesta" numFmtId="0" hierarchy="22" level="32767"/>
    <cacheField name="[sabana].[Tipo de encuesta].[Tipo de encuesta]" caption="Tipo de encuesta" numFmtId="0" hierarchy="19" level="1">
      <sharedItems containsSemiMixedTypes="0" containsNonDate="0" containsString="0"/>
    </cacheField>
    <cacheField name="[sabana].[Supervisor].[Supervisor]" caption="Supervisor" numFmtId="0" hierarchy="15" level="1">
      <sharedItems containsSemiMixedTypes="0" containsNonDate="0" containsString="0"/>
    </cacheField>
    <cacheField name="[sabana].[Canal].[Canal]" caption="Canal" numFmtId="0" hierarchy="17" level="1">
      <sharedItems containsSemiMixedTypes="0" containsNonDate="0" containsString="0"/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0" memberValueDatatype="130" unbalanced="0"/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3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>
      <fieldsUsage count="2">
        <fieldUsage x="-1"/>
        <fieldUsage x="4"/>
      </fieldsUsage>
    </cacheHierarchy>
    <cacheHierarchy uniqueName="[sabana].[Hora2]" caption="Hora2" attribute="1" defaultMemberUniqueName="[sabana].[Hora2].[All]" allUniqueName="[sabana].[Hora2].[All]" dimensionUniqueName="[sabana]" displayFolder="" count="2" memberValueDatatype="20" unbalanced="0">
      <fieldsUsage count="2">
        <fieldUsage x="-1"/>
        <fieldUsage x="0"/>
      </fieldsUsage>
    </cacheHierarchy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2"/>
      </fieldsUsage>
    </cacheHierarchy>
    <cacheHierarchy uniqueName="[Measures].[Conteo_Detractor]" caption="Conteo_Detractor" measure="1" displayFolder="" measureGroup="sabana" count="0"/>
    <cacheHierarchy uniqueName="[Measures].[Conteo_Pasivo]" caption="Conteo_Pasivo" measure="1" displayFolder="" measureGroup="sabana" count="0"/>
    <cacheHierarchy uniqueName="[Measures].[Conteo_Respuesta]" caption="Conteo_Respuesta" measure="1" displayFolder="" measureGroup="sabana" count="0" oneField="1">
      <fieldsUsage count="1">
        <fieldUsage x="1"/>
      </fieldsUsage>
    </cacheHierarchy>
    <cacheHierarchy uniqueName="[Measures].[tNPS]" caption="tNPS" measure="1" displayFolder="" measureGroup="sabana" count="0"/>
    <cacheHierarchy uniqueName="[Measures].[Conteo_Promotor]" caption="Conteo_Promotor" measure="1" displayFolder="" measureGroup="sabana" count="0"/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59777587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AN CARLOS MELENDEZ MARTINEZ" refreshedDate="45898.902701273146" backgroundQuery="1" createdVersion="8" refreshedVersion="6" minRefreshableVersion="3" recordCount="0" supportSubquery="1" supportAdvancedDrill="1" xr:uid="{23BE9CCE-6719-4E70-A921-3B447CF48E80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6">
    <cacheField name="[sabana].[Hora2].[Hora2]" caption="Hora2" numFmtId="0" hierarchy="18" level="1">
      <sharedItems containsSemiMixedTypes="0" containsString="0" containsNumber="1" containsInteger="1" minValue="0" maxValue="21" count="19">
        <n v="0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  <extLst>
        <ext xmlns:x15="http://schemas.microsoft.com/office/spreadsheetml/2010/11/main" uri="{4F2E5C28-24EA-4eb8-9CBF-B6C8F9C3D259}">
          <x15:cachedUniqueNames>
            <x15:cachedUniqueName index="0" name="[sabana].[Hora2].&amp;[0]"/>
            <x15:cachedUniqueName index="1" name="[sabana].[Hora2].&amp;[4]"/>
            <x15:cachedUniqueName index="2" name="[sabana].[Hora2].&amp;[5]"/>
            <x15:cachedUniqueName index="3" name="[sabana].[Hora2].&amp;[6]"/>
            <x15:cachedUniqueName index="4" name="[sabana].[Hora2].&amp;[7]"/>
            <x15:cachedUniqueName index="5" name="[sabana].[Hora2].&amp;[8]"/>
            <x15:cachedUniqueName index="6" name="[sabana].[Hora2].&amp;[9]"/>
            <x15:cachedUniqueName index="7" name="[sabana].[Hora2].&amp;[10]"/>
            <x15:cachedUniqueName index="8" name="[sabana].[Hora2].&amp;[11]"/>
            <x15:cachedUniqueName index="9" name="[sabana].[Hora2].&amp;[12]"/>
            <x15:cachedUniqueName index="10" name="[sabana].[Hora2].&amp;[13]"/>
            <x15:cachedUniqueName index="11" name="[sabana].[Hora2].&amp;[14]"/>
            <x15:cachedUniqueName index="12" name="[sabana].[Hora2].&amp;[15]"/>
            <x15:cachedUniqueName index="13" name="[sabana].[Hora2].&amp;[16]"/>
            <x15:cachedUniqueName index="14" name="[sabana].[Hora2].&amp;[17]"/>
            <x15:cachedUniqueName index="15" name="[sabana].[Hora2].&amp;[18]"/>
            <x15:cachedUniqueName index="16" name="[sabana].[Hora2].&amp;[19]"/>
            <x15:cachedUniqueName index="17" name="[sabana].[Hora2].&amp;[20]"/>
            <x15:cachedUniqueName index="18" name="[sabana].[Hora2].&amp;[21]"/>
          </x15:cachedUniqueNames>
        </ext>
      </extLst>
    </cacheField>
    <cacheField name="[sabana].[Tipo de encuesta].[Tipo de encuesta]" caption="Tipo de encuesta" numFmtId="0" hierarchy="19" level="1">
      <sharedItems containsSemiMixedTypes="0" containsNonDate="0" containsString="0"/>
    </cacheField>
    <cacheField name="[Measures].[Conteo_Detractor]" caption="Conteo_Detractor" numFmtId="0" hierarchy="20" level="32767"/>
    <cacheField name="[Measures].[Conteo_Promotor]" caption="Conteo_Promotor" numFmtId="0" hierarchy="24" level="32767"/>
    <cacheField name="[sabana].[Supervisor].[Supervisor]" caption="Supervisor" numFmtId="0" hierarchy="15" level="1">
      <sharedItems containsSemiMixedTypes="0" containsNonDate="0" containsString="0"/>
    </cacheField>
    <cacheField name="[sabana].[Canal].[Canal]" caption="Canal" numFmtId="0" hierarchy="17" level="1">
      <sharedItems containsSemiMixedTypes="0" containsNonDate="0" containsString="0"/>
    </cacheField>
  </cacheFields>
  <cacheHierarchies count="32">
    <cacheHierarchy uniqueName="[sabana].[Id.Caso]" caption="Id.Caso" attribute="1" defaultMemberUniqueName="[sabana].[Id.Caso].[All]" allUniqueName="[sabana].[Id.Caso].[All]" dimensionUniqueName="[sabana]" displayFolder="" count="0" memberValueDatatype="20" unbalanced="0"/>
    <cacheHierarchy uniqueName="[sabana].[Operador Abre]" caption="Operador Abre" attribute="1" defaultMemberUniqueName="[sabana].[Operador Abre].[All]" allUniqueName="[sabana].[Operador Abre].[All]" dimensionUniqueName="[sabana]" displayFolder="" count="0" memberValueDatatype="130" unbalanced="0"/>
    <cacheHierarchy uniqueName="[sabana].[Skill]" caption="Skill" attribute="1" defaultMemberUniqueName="[sabana].[Skill].[All]" allUniqueName="[sabana].[Skill].[All]" dimensionUniqueName="[sabana]" displayFolder="" count="0" memberValueDatatype="130" unbalanced="0"/>
    <cacheHierarchy uniqueName="[sabana].[Operador Cierre]" caption="Operador Cierre" attribute="1" defaultMemberUniqueName="[sabana].[Operador Cierre].[All]" allUniqueName="[sabana].[Operador Cierre].[All]" dimensionUniqueName="[sabana]" displayFolder="" count="0" memberValueDatatype="130" unbalanced="0"/>
    <cacheHierarchy uniqueName="[sabana].[Id usuario]" caption="Id usuario" attribute="1" defaultMemberUniqueName="[sabana].[Id usuario].[All]" allUniqueName="[sabana].[Id usuario].[All]" dimensionUniqueName="[sabana]" displayFolder="" count="0" memberValueDatatype="130" unbalanced="0"/>
    <cacheHierarchy uniqueName="[sabana].[Servicio]" caption="Servicio" attribute="1" defaultMemberUniqueName="[sabana].[Servicio].[All]" allUniqueName="[sabana].[Servicio].[All]" dimensionUniqueName="[sabana]" displayFolder="" count="0" memberValueDatatype="130" unbalanced="0"/>
    <cacheHierarchy uniqueName="[sabana].[Fecha]" caption="Fecha" attribute="1" time="1" defaultMemberUniqueName="[sabana].[Fecha].[All]" allUniqueName="[sabana].[Fecha].[All]" dimensionUniqueName="[sabana]" displayFolder="" count="0" memberValueDatatype="7" unbalanced="0"/>
    <cacheHierarchy uniqueName="[sabana].[Hora]" caption="Hora" attribute="1" time="1" defaultMemberUniqueName="[sabana].[Hora].[All]" allUniqueName="[sabana].[Hora].[All]" dimensionUniqueName="[sabana]" displayFolder="" count="0" memberValueDatatype="7" unbalanced="0"/>
    <cacheHierarchy uniqueName="[sabana].[Categoría]" caption="Categoría" attribute="1" defaultMemberUniqueName="[sabana].[Categoría].[All]" allUniqueName="[sabana].[Categoría].[All]" dimensionUniqueName="[sabana]" displayFolder="" count="0" memberValueDatatype="130" unbalanced="0"/>
    <cacheHierarchy uniqueName="[sabana].[Comentarios]" caption="Comentarios" attribute="1" defaultMemberUniqueName="[sabana].[Comentarios].[All]" allUniqueName="[sabana].[Comentarios].[All]" dimensionUniqueName="[sabana]" displayFolder="" count="0" memberValueDatatype="130" unbalanced="0"/>
    <cacheHierarchy uniqueName="[sabana].[poll_answer_time]" caption="poll_answer_time" attribute="1" time="1" defaultMemberUniqueName="[sabana].[poll_answer_time].[All]" allUniqueName="[sabana].[poll_answer_time].[All]" dimensionUniqueName="[sabana]" displayFolder="" count="0" memberValueDatatype="7" unbalanced="0"/>
    <cacheHierarchy uniqueName="[sabana].[ans1]" caption="ans1" attribute="1" defaultMemberUniqueName="[sabana].[ans1].[All]" allUniqueName="[sabana].[ans1].[All]" dimensionUniqueName="[sabana]" displayFolder="" count="0" memberValueDatatype="20" unbalanced="0"/>
    <cacheHierarchy uniqueName="[sabana].[ans7]" caption="ans7" attribute="1" defaultMemberUniqueName="[sabana].[ans7].[All]" allUniqueName="[sabana].[ans7].[All]" dimensionUniqueName="[sabana]" displayFolder="" count="0" memberValueDatatype="20" unbalanced="0"/>
    <cacheHierarchy uniqueName="[sabana].[comments]" caption="comments" attribute="1" defaultMemberUniqueName="[sabana].[comments].[All]" allUniqueName="[sabana].[comments].[All]" dimensionUniqueName="[sabana]" displayFolder="" count="0" memberValueDatatype="130" unbalanced="0"/>
    <cacheHierarchy uniqueName="[sabana].[Clasificacion]" caption="Clasificacion" attribute="1" defaultMemberUniqueName="[sabana].[Clasificacion].[All]" allUniqueName="[sabana].[Clasificacion].[All]" dimensionUniqueName="[sabana]" displayFolder="" count="0" memberValueDatatype="130" unbalanced="0"/>
    <cacheHierarchy uniqueName="[sabana].[Supervisor]" caption="Supervisor" attribute="1" defaultMemberUniqueName="[sabana].[Supervisor].[All]" allUniqueName="[sabana].[Supervisor].[All]" dimensionUniqueName="[sabana]" displayFolder="" count="2" memberValueDatatype="130" unbalanced="0">
      <fieldsUsage count="2">
        <fieldUsage x="-1"/>
        <fieldUsage x="4"/>
      </fieldsUsage>
    </cacheHierarchy>
    <cacheHierarchy uniqueName="[sabana].[Sitio]" caption="Sitio" attribute="1" defaultMemberUniqueName="[sabana].[Sitio].[All]" allUniqueName="[sabana].[Sitio].[All]" dimensionUniqueName="[sabana]" displayFolder="" count="0" memberValueDatatype="130" unbalanced="0"/>
    <cacheHierarchy uniqueName="[sabana].[Canal]" caption="Canal" attribute="1" defaultMemberUniqueName="[sabana].[Canal].[All]" allUniqueName="[sabana].[Canal].[All]" dimensionUniqueName="[sabana]" displayFolder="" count="2" memberValueDatatype="130" unbalanced="0">
      <fieldsUsage count="2">
        <fieldUsage x="-1"/>
        <fieldUsage x="5"/>
      </fieldsUsage>
    </cacheHierarchy>
    <cacheHierarchy uniqueName="[sabana].[Hora2]" caption="Hora2" attribute="1" defaultMemberUniqueName="[sabana].[Hora2].[All]" allUniqueName="[sabana].[Hora2].[All]" dimensionUniqueName="[sabana]" displayFolder="" count="2" memberValueDatatype="20" unbalanced="0">
      <fieldsUsage count="2">
        <fieldUsage x="-1"/>
        <fieldUsage x="0"/>
      </fieldsUsage>
    </cacheHierarchy>
    <cacheHierarchy uniqueName="[sabana].[Tipo de encuesta]" caption="Tipo de encuesta" attribute="1" defaultMemberUniqueName="[sabana].[Tipo de encuesta].[All]" allUniqueName="[sabana].[Tipo de encuesta].[All]" dimensionUniqueName="[sabana]" displayFolder="" count="2" memberValueDatatype="130" unbalanced="0">
      <fieldsUsage count="2">
        <fieldUsage x="-1"/>
        <fieldUsage x="1"/>
      </fieldsUsage>
    </cacheHierarchy>
    <cacheHierarchy uniqueName="[Measures].[Conteo_Detractor]" caption="Conteo_Detractor" measure="1" displayFolder="" measureGroup="sabana" count="0" oneField="1">
      <fieldsUsage count="1">
        <fieldUsage x="2"/>
      </fieldsUsage>
    </cacheHierarchy>
    <cacheHierarchy uniqueName="[Measures].[Conteo_Pasivo]" caption="Conteo_Pasivo" measure="1" displayFolder="" measureGroup="sabana" count="0"/>
    <cacheHierarchy uniqueName="[Measures].[Conteo_Respuesta]" caption="Conteo_Respuesta" measure="1" displayFolder="" measureGroup="sabana" count="0"/>
    <cacheHierarchy uniqueName="[Measures].[tNPS]" caption="tNPS" measure="1" displayFolder="" measureGroup="sabana" count="0"/>
    <cacheHierarchy uniqueName="[Measures].[Conteo_Promotor]" caption="Conteo_Promotor" measure="1" displayFolder="" measureGroup="sabana" count="0" oneField="1">
      <fieldsUsage count="1">
        <fieldUsage x="3"/>
      </fieldsUsage>
    </cacheHierarchy>
    <cacheHierarchy uniqueName="[Measures].[nota_cero]" caption="nota_cero" measure="1" displayFolder="" measureGroup="sabana" count="0"/>
    <cacheHierarchy uniqueName="[Measures].[nota_diez]" caption="nota_diez" measure="1" displayFolder="" measureGroup="sabana" count="0"/>
    <cacheHierarchy uniqueName="[Measures].[__XL_Count sabana]" caption="__XL_Count sabana" measure="1" displayFolder="" measureGroup="sabana" count="0" hidden="1"/>
    <cacheHierarchy uniqueName="[Measures].[__No measures defined]" caption="__No measures defined" measure="1" displayFolder="" count="0" hidden="1"/>
    <cacheHierarchy uniqueName="[Measures].[Recuento de Id usuario]" caption="Recue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e Comentarios]" caption="Recuento de Comentarios" measure="1" displayFolder="" measureGroup="saban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istinto de Id usuario]" caption="Recuento distinto de Id usuario" measure="1" displayFolder="" measureGroup="saban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sabana" uniqueName="[sabana]" caption="sabana"/>
  </dimensions>
  <measureGroups count="1">
    <measureGroup name="sabana" caption="sabana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9509449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7A7E91-B29C-4510-856B-6134EE6C43BF}" name="PivotChartTable6" cacheId="78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8" indent="0" outline="1" outlineData="1" multipleFieldFilters="0" chartFormat="10">
  <location ref="A1:C21" firstHeaderRow="0" firstDataRow="1" firstDataCol="1"/>
  <pivotFields count="6">
    <pivotField axis="axisRow" allDrilled="1" subtotalTop="0" showAll="0" dataSourceSort="1" defaultSubtotal="0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fld="2" subtotal="count" baseField="0" baseItem="0"/>
    <dataField fld="3" subtotal="count" baseField="0" baseItem="0"/>
  </dataFields>
  <chartFormats count="2"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sabana].[Supervisor].&amp;[Erick Morales]"/>
        <member name="[sabana].[Supervisor].&amp;[Henry Romero]"/>
        <member name="[sabana].[Supervisor].&amp;[Jaime Flores]"/>
        <member name="[sabana].[Supervisor].&amp;[Rodrigo Gomez]"/>
      </members>
    </pivotHierarchy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NPS por Hora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rowHierarchiesUsage count="1">
    <rowHierarchyUsage hierarchyUsage="1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"/>
      </x15:pivotTableServerFormats>
    </ext>
    <ext xmlns:x15="http://schemas.microsoft.com/office/spreadsheetml/2010/11/main" uri="{44433962-1CF7-4059-B4EE-95C3D5FFCF73}">
      <x15:pivotTableData rowCount="20" columnCount="2" cacheId="195094496">
        <x15:pivotRow count="2">
          <x15:c t="e">
            <x15:v/>
            <x15:x in="0"/>
          </x15:c>
          <x15:c>
            <x15:v>1</x15:v>
            <x15:x in="0"/>
          </x15:c>
        </x15:pivotRow>
        <x15:pivotRow count="2">
          <x15:c t="e">
            <x15:v/>
            <x15:x in="0"/>
          </x15:c>
          <x15:c>
            <x15:v>1</x15:v>
            <x15:x in="0"/>
          </x15:c>
        </x15:pivotRow>
        <x15:pivotRow count="2">
          <x15:c t="e">
            <x15:v/>
            <x15:x in="0"/>
          </x15:c>
          <x15:c>
            <x15:v>2</x15:v>
            <x15:x in="0"/>
          </x15:c>
        </x15:pivotRow>
        <x15:pivotRow count="2">
          <x15:c t="e">
            <x15:v/>
            <x15:x in="0"/>
          </x15:c>
          <x15:c>
            <x15:v>5</x15:v>
            <x15:x in="0"/>
          </x15:c>
        </x15:pivotRow>
        <x15:pivotRow count="2">
          <x15:c t="e">
            <x15:v/>
            <x15:x in="0"/>
          </x15:c>
          <x15:c>
            <x15:v>7</x15:v>
            <x15:x in="0"/>
          </x15:c>
        </x15:pivotRow>
        <x15:pivotRow count="2">
          <x15:c>
            <x15:v>3</x15:v>
            <x15:x in="0"/>
          </x15:c>
          <x15:c>
            <x15:v>10</x15:v>
            <x15:x in="0"/>
          </x15:c>
        </x15:pivotRow>
        <x15:pivotRow count="2">
          <x15:c>
            <x15:v>1</x15:v>
            <x15:x in="0"/>
          </x15:c>
          <x15:c>
            <x15:v>8</x15:v>
            <x15:x in="0"/>
          </x15:c>
        </x15:pivotRow>
        <x15:pivotRow count="2">
          <x15:c>
            <x15:v>2</x15:v>
            <x15:x in="0"/>
          </x15:c>
          <x15:c>
            <x15:v>7</x15:v>
            <x15:x in="0"/>
          </x15:c>
        </x15:pivotRow>
        <x15:pivotRow count="2">
          <x15:c>
            <x15:v>1</x15:v>
            <x15:x in="0"/>
          </x15:c>
          <x15:c>
            <x15:v>10</x15:v>
            <x15:x in="0"/>
          </x15:c>
        </x15:pivotRow>
        <x15:pivotRow count="2">
          <x15:c>
            <x15:v>1</x15:v>
            <x15:x in="0"/>
          </x15:c>
          <x15:c>
            <x15:v>14</x15:v>
            <x15:x in="0"/>
          </x15:c>
        </x15:pivotRow>
        <x15:pivotRow count="2">
          <x15:c t="e">
            <x15:v/>
            <x15:x in="0"/>
          </x15:c>
          <x15:c>
            <x15:v>12</x15:v>
            <x15:x in="0"/>
          </x15:c>
        </x15:pivotRow>
        <x15:pivotRow count="2">
          <x15:c>
            <x15:v>1</x15:v>
            <x15:x in="0"/>
          </x15:c>
          <x15:c>
            <x15:v>12</x15:v>
            <x15:x in="0"/>
          </x15:c>
        </x15:pivotRow>
        <x15:pivotRow count="2">
          <x15:c>
            <x15:v>2</x15:v>
            <x15:x in="0"/>
          </x15:c>
          <x15:c>
            <x15:v>15</x15:v>
            <x15:x in="0"/>
          </x15:c>
        </x15:pivotRow>
        <x15:pivotRow count="2">
          <x15:c>
            <x15:v>2</x15:v>
            <x15:x in="0"/>
          </x15:c>
          <x15:c>
            <x15:v>14</x15:v>
            <x15:x in="0"/>
          </x15:c>
        </x15:pivotRow>
        <x15:pivotRow count="2">
          <x15:c>
            <x15:v>4</x15:v>
            <x15:x in="0"/>
          </x15:c>
          <x15:c>
            <x15:v>23</x15:v>
            <x15:x in="0"/>
          </x15:c>
        </x15:pivotRow>
        <x15:pivotRow count="2">
          <x15:c>
            <x15:v>3</x15:v>
            <x15:x in="0"/>
          </x15:c>
          <x15:c>
            <x15:v>22</x15:v>
            <x15:x in="0"/>
          </x15:c>
        </x15:pivotRow>
        <x15:pivotRow count="2">
          <x15:c t="e">
            <x15:v/>
            <x15:x in="0"/>
          </x15:c>
          <x15:c>
            <x15:v>10</x15:v>
            <x15:x in="0"/>
          </x15:c>
        </x15:pivotRow>
        <x15:pivotRow count="2">
          <x15:c>
            <x15:v>3</x15:v>
            <x15:x in="0"/>
          </x15:c>
          <x15:c>
            <x15:v>15</x15:v>
            <x15:x in="0"/>
          </x15:c>
        </x15:pivotRow>
        <x15:pivotRow count="2">
          <x15:c t="e">
            <x15:v/>
            <x15:x in="0"/>
          </x15:c>
          <x15:c>
            <x15:v>3</x15:v>
            <x15:x in="0"/>
          </x15:c>
        </x15:pivotRow>
        <x15:pivotRow count="2">
          <x15:c>
            <x15:v>23</x15:v>
            <x15:x in="0"/>
          </x15:c>
          <x15:c>
            <x15:v>191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7A7E91-B29C-4510-856B-6134EE6C43BF}" name="PivotChartTable1" cacheId="75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8" indent="0" outline="1" outlineData="1" multipleFieldFilters="0" chartFormat="8">
  <location ref="A1:B21" firstHeaderRow="1" firstDataRow="1" firstDataCol="1"/>
  <pivotFields count="5">
    <pivotField axis="axisRow" allDrilled="1" subtotalTop="0" showAll="0" dataSourceSort="1" defaultSubtotal="0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fld="1" subtotal="count" baseField="0" baseItem="0"/>
  </dataFields>
  <chartFormats count="3"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sabana].[Supervisor].&amp;[Erick Morales]"/>
        <member name="[sabana].[Supervisor].&amp;[Henry Romero]"/>
        <member name="[sabana].[Supervisor].&amp;[Jaime Flores]"/>
        <member name="[sabana].[Supervisor].&amp;[Rodrigo Gomez]"/>
      </members>
    </pivotHierarchy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NPS por Hora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0" columnCount="1" cacheId="1597775872"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2</x15:v>
          </x15:c>
        </x15:pivotRow>
        <x15:pivotRow count="1">
          <x15:c>
            <x15:v>7</x15:v>
          </x15:c>
        </x15:pivotRow>
        <x15:pivotRow count="1">
          <x15:c>
            <x15:v>9</x15:v>
          </x15:c>
        </x15:pivotRow>
        <x15:pivotRow count="1">
          <x15:c>
            <x15:v>14</x15:v>
          </x15:c>
        </x15:pivotRow>
        <x15:pivotRow count="1">
          <x15:c>
            <x15:v>11</x15:v>
          </x15:c>
        </x15:pivotRow>
        <x15:pivotRow count="1">
          <x15:c>
            <x15:v>9</x15:v>
          </x15:c>
        </x15:pivotRow>
        <x15:pivotRow count="1">
          <x15:c>
            <x15:v>11</x15:v>
          </x15:c>
        </x15:pivotRow>
        <x15:pivotRow count="1">
          <x15:c>
            <x15:v>15</x15:v>
          </x15:c>
        </x15:pivotRow>
        <x15:pivotRow count="1">
          <x15:c>
            <x15:v>15</x15:v>
          </x15:c>
        </x15:pivotRow>
        <x15:pivotRow count="1">
          <x15:c>
            <x15:v>16</x15:v>
          </x15:c>
        </x15:pivotRow>
        <x15:pivotRow count="1">
          <x15:c>
            <x15:v>17</x15:v>
          </x15:c>
        </x15:pivotRow>
        <x15:pivotRow count="1">
          <x15:c>
            <x15:v>19</x15:v>
          </x15:c>
        </x15:pivotRow>
        <x15:pivotRow count="1">
          <x15:c>
            <x15:v>29</x15:v>
          </x15:c>
        </x15:pivotRow>
        <x15:pivotRow count="1">
          <x15:c>
            <x15:v>29</x15:v>
          </x15:c>
        </x15:pivotRow>
        <x15:pivotRow count="1">
          <x15:c>
            <x15:v>12</x15:v>
          </x15:c>
        </x15:pivotRow>
        <x15:pivotRow count="1">
          <x15:c>
            <x15:v>21</x15:v>
          </x15:c>
        </x15:pivotRow>
        <x15:pivotRow count="1">
          <x15:c>
            <x15:v>4</x15:v>
          </x15:c>
        </x15:pivotRow>
        <x15:pivotRow count="1">
          <x15:c>
            <x15:v>242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0FCA32-5FC0-4414-94A6-2ACB680C2AC6}" name="PivotChartTable5" cacheId="72" dataOnRows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8" indent="0" outline="1" outlineData="1" multipleFieldFilters="0" chartFormat="3">
  <location ref="A1:B3" firstHeaderRow="1" firstDataRow="1" firstDataCol="1"/>
  <pivotFields count="5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-2"/>
  </rowFields>
  <rowItems count="2">
    <i>
      <x/>
    </i>
    <i i="1">
      <x v="1"/>
    </i>
  </rowItems>
  <colItems count="1">
    <i/>
  </colItems>
  <dataFields count="2">
    <dataField fld="0" subtotal="count" baseField="0" baseItem="0"/>
    <dataField fld="1" subtotal="count" baseField="0" baseItem="0"/>
  </dataFields>
  <chartFormats count="3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9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sabana].[Supervisor].&amp;[Erick Morales]"/>
        <member name="[sabana].[Supervisor].&amp;[Henry Romero]"/>
        <member name="[sabana].[Supervisor].&amp;[Jaime Flores]"/>
        <member name="[sabana].[Supervisor].&amp;[Rodrigo Gomez]"/>
      </members>
    </pivotHierarchy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 caption="Detractores"/>
    <pivotHierarchy dragToRow="0" dragToCol="0" dragToPage="0" dragToData="1" caption="Pasivos"/>
    <pivotHierarchy dragToRow="0" dragToCol="0" dragToPage="0" dragToData="1"/>
    <pivotHierarchy dragToRow="0" dragToCol="0" dragToPage="0" dragToData="1"/>
    <pivotHierarchy dragToRow="0" dragToCol="0" dragToPage="0" dragToData="1" caption="Promotor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rowHierarchiesUsage count="1"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"/>
      </x15:pivotTableServerFormats>
    </ext>
    <ext xmlns:x15="http://schemas.microsoft.com/office/spreadsheetml/2010/11/main" uri="{44433962-1CF7-4059-B4EE-95C3D5FFCF73}">
      <x15:pivotTableData rowCount="2" columnCount="1" cacheId="51838877">
        <x15:pivotRow count="1">
          <x15:c>
            <x15:v>15</x15:v>
            <x15:x in="0"/>
          </x15:c>
        </x15:pivotRow>
        <x15:pivotRow count="1">
          <x15:c>
            <x15:v>171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 sourceDataName="Consulta - sabana"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0FCA32-5FC0-4414-94A6-2ACB680C2AC6}" name="PivotChartTable4" cacheId="69" dataOnRows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8" indent="0" outline="1" outlineData="1" multipleFieldFilters="0" chartFormat="1">
  <location ref="A1:B3" firstHeaderRow="1" firstDataRow="1" firstDataCol="1"/>
  <pivotFields count="5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-2"/>
  </rowFields>
  <rowItems count="2">
    <i>
      <x/>
    </i>
    <i i="1">
      <x v="1"/>
    </i>
  </rowItems>
  <colItems count="1">
    <i/>
  </colItems>
  <dataFields count="2">
    <dataField name="Promotores" fld="0" subtotal="count" baseField="0" baseItem="0"/>
    <dataField name="Detractores" fld="1" subtotal="count" baseField="0" baseItem="1769400"/>
  </dataFields>
  <chartFormats count="4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sabana].[Supervisor].&amp;[Erick Morales]"/>
        <member name="[sabana].[Supervisor].&amp;[Henry Romero]"/>
        <member name="[sabana].[Supervisor].&amp;[Jaime Flores]"/>
        <member name="[sabana].[Supervisor].&amp;[Rodrigo Gomez]"/>
      </members>
    </pivotHierarchy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 caption="Detractores"/>
    <pivotHierarchy dragToRow="0" dragToCol="0" dragToPage="0" dragToData="1" caption="Pasivos"/>
    <pivotHierarchy dragToRow="0" dragToCol="0" dragToPage="0" dragToData="1"/>
    <pivotHierarchy dragToRow="0" dragToCol="0" dragToPage="0" dragToData="1"/>
    <pivotHierarchy dragToRow="0" dragToCol="0" dragToPage="0" dragToData="1" caption="Promotor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rowHierarchiesUsage count="1"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"/>
      </x15:pivotTableServerFormats>
    </ext>
    <ext xmlns:x15="http://schemas.microsoft.com/office/spreadsheetml/2010/11/main" uri="{44433962-1CF7-4059-B4EE-95C3D5FFCF73}">
      <x15:pivotTableData rowCount="2" columnCount="1" cacheId="387894074">
        <x15:pivotRow count="1">
          <x15:c>
            <x15:v>191</x15:v>
            <x15:x in="0"/>
          </x15:c>
        </x15:pivotRow>
        <x15:pivotRow count="1">
          <x15:c>
            <x15:v>23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 sourceDataName="Consulta - sabana"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30932D-5619-4FC5-B261-5D859DE97BD5}" name="PivotChartTable2" cacheId="66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8" indent="0" outline="1" outlineData="1" multipleFieldFilters="0" chartFormat="7">
  <location ref="A1:A2" firstHeaderRow="1" firstDataRow="1" firstDataCol="0"/>
  <pivotFields count="4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/>
  </dataFields>
  <chartFormats count="5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5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sabana].[Supervisor].&amp;[Erick Morales]"/>
        <member name="[sabana].[Supervisor].&amp;[Henry Romero]"/>
        <member name="[sabana].[Supervisor].&amp;[Jaime Flores]"/>
        <member name="[sabana].[Supervisor].&amp;[Rodrigo Gomez]"/>
      </members>
    </pivotHierarchy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0.00 %;-0.00 %;0.00 %"/>
      </x15:pivotTableServerFormats>
    </ext>
    <ext xmlns:x15="http://schemas.microsoft.com/office/spreadsheetml/2010/11/main" uri="{44433962-1CF7-4059-B4EE-95C3D5FFCF73}">
      <x15:pivotTableData rowCount="1" columnCount="1" cacheId="1524766291">
        <x15:pivotRow count="1">
          <x15:c>
            <x15:v>0.69421487603305787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 sourceDataName="Consulta - sabana"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30932D-5619-4FC5-B261-5D859DE97BD5}" name="PivotChartTable3" cacheId="63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8" indent="0" outline="1" outlineData="1" multipleFieldFilters="0" chartFormat="7">
  <location ref="A1:A2" firstHeaderRow="1" firstDataRow="1" firstDataCol="0"/>
  <pivotFields count="4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/>
  </dataFields>
  <chartFormats count="2">
    <chartFormat chart="6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6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sabana].[Supervisor].&amp;[Erick Morales]"/>
        <member name="[sabana].[Supervisor].&amp;[Henry Romero]"/>
        <member name="[sabana].[Supervisor].&amp;[Jaime Flores]"/>
        <member name="[sabana].[Supervisor].&amp;[Rodrigo Gomez]"/>
      </members>
    </pivotHierarchy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" columnCount="1" cacheId="1103974157">
        <x15:pivotRow count="1">
          <x15:c>
            <x15:v>242</x15:v>
          </x15:c>
        </x15:pivotRow>
      </x15:pivotTableData>
    </ext>
    <ext xmlns:x15="http://schemas.microsoft.com/office/spreadsheetml/2010/11/main" uri="{E67621CE-5B39-4880-91FE-76760E9C1902}">
      <x15:pivotTableUISettings sourceDataName="Consulta - sabana"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7A7E91-B29C-4510-856B-6134EE6C43BF}" name="PivotChartTable8" cacheId="6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8" indent="0" outline="1" outlineData="1" multipleFieldFilters="0" chartFormat="8">
  <location ref="A1:B21" firstHeaderRow="1" firstDataRow="1" firstDataCol="1"/>
  <pivotFields count="5">
    <pivotField dataField="1" subtotalTop="0" showAll="0" defaultSubtotal="0"/>
    <pivotField axis="axisRow" allDrilled="1" subtotalTop="0" showAll="0" dataSourceSort="1" defaultSubtotal="0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tNPS por Hora" fld="0" subtotal="count" baseField="1" baseItem="2"/>
  </dataFields>
  <chartFormats count="7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sabana].[Supervisor].&amp;[Erick Morales]"/>
        <member name="[sabana].[Supervisor].&amp;[Henry Romero]"/>
        <member name="[sabana].[Supervisor].&amp;[Jaime Flores]"/>
        <member name="[sabana].[Supervisor].&amp;[Rodrigo Gomez]"/>
      </members>
    </pivotHierarchy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NPS por Hora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0.00 %;-0.00 %;0.00 %"/>
      </x15:pivotTableServerFormats>
    </ext>
    <ext xmlns:x15="http://schemas.microsoft.com/office/spreadsheetml/2010/11/main" uri="{44433962-1CF7-4059-B4EE-95C3D5FFCF73}">
      <x15:pivotTableData rowCount="20" columnCount="1" cacheId="1692999704">
        <x15:pivotRow count="1">
          <x15:c>
            <x15:v>1</x15:v>
            <x15:x in="0"/>
          </x15:c>
        </x15:pivotRow>
        <x15:pivotRow count="1">
          <x15:c>
            <x15:v>1</x15:v>
            <x15:x in="0"/>
          </x15:c>
        </x15:pivotRow>
        <x15:pivotRow count="1">
          <x15:c>
            <x15:v>1</x15:v>
            <x15:x in="0"/>
          </x15:c>
        </x15:pivotRow>
        <x15:pivotRow count="1">
          <x15:c>
            <x15:v>0.7142857142857143</x15:v>
            <x15:x in="0"/>
          </x15:c>
        </x15:pivotRow>
        <x15:pivotRow count="1">
          <x15:c>
            <x15:v>0.77777777777777779</x15:v>
            <x15:x in="0"/>
          </x15:c>
        </x15:pivotRow>
        <x15:pivotRow count="1">
          <x15:c>
            <x15:v>0.5</x15:v>
            <x15:x in="0"/>
          </x15:c>
        </x15:pivotRow>
        <x15:pivotRow count="1">
          <x15:c>
            <x15:v>0.63636363636363635</x15:v>
            <x15:x in="0"/>
          </x15:c>
        </x15:pivotRow>
        <x15:pivotRow count="1">
          <x15:c>
            <x15:v>0.55555555555555558</x15:v>
            <x15:x in="0"/>
          </x15:c>
        </x15:pivotRow>
        <x15:pivotRow count="1">
          <x15:c>
            <x15:v>0.81818181818181812</x15:v>
            <x15:x in="0"/>
          </x15:c>
        </x15:pivotRow>
        <x15:pivotRow count="1">
          <x15:c>
            <x15:v>0.8666666666666667</x15:v>
            <x15:x in="0"/>
          </x15:c>
        </x15:pivotRow>
        <x15:pivotRow count="1">
          <x15:c>
            <x15:v>0.8</x15:v>
            <x15:x in="0"/>
          </x15:c>
        </x15:pivotRow>
        <x15:pivotRow count="1">
          <x15:c>
            <x15:v>0.6875</x15:v>
            <x15:x in="0"/>
          </x15:c>
        </x15:pivotRow>
        <x15:pivotRow count="1">
          <x15:c>
            <x15:v>0.76470588235294112</x15:v>
            <x15:x in="0"/>
          </x15:c>
        </x15:pivotRow>
        <x15:pivotRow count="1">
          <x15:c>
            <x15:v>0.63157894736842102</x15:v>
            <x15:x in="0"/>
          </x15:c>
        </x15:pivotRow>
        <x15:pivotRow count="1">
          <x15:c>
            <x15:v>0.65517241379310343</x15:v>
            <x15:x in="0"/>
          </x15:c>
        </x15:pivotRow>
        <x15:pivotRow count="1">
          <x15:c>
            <x15:v>0.65517241379310343</x15:v>
            <x15:x in="0"/>
          </x15:c>
        </x15:pivotRow>
        <x15:pivotRow count="1">
          <x15:c>
            <x15:v>0.83333333333333337</x15:v>
            <x15:x in="0"/>
          </x15:c>
        </x15:pivotRow>
        <x15:pivotRow count="1">
          <x15:c>
            <x15:v>0.5714285714285714</x15:v>
            <x15:x in="0"/>
          </x15:c>
        </x15:pivotRow>
        <x15:pivotRow count="1">
          <x15:c>
            <x15:v>0.75</x15:v>
            <x15:x in="0"/>
          </x15:c>
        </x15:pivotRow>
        <x15:pivotRow count="1">
          <x15:c>
            <x15:v>0.69421487603305787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40DB7B-EDF8-48BC-85A7-439CC324DD22}" name="TablaDinámica4" cacheId="87" applyNumberFormats="0" applyBorderFormats="0" applyFontFormats="0" applyPatternFormats="0" applyAlignmentFormats="0" applyWidthHeightFormats="1" dataCaption="Valores" tag="7fc9fb92-cc6e-467f-a75d-30f6391fcfc2" updatedVersion="6" minRefreshableVersion="3" subtotalHiddenItems="1" itemPrintTitles="1" createdVersion="8" indent="0" outline="1" outlineData="1" multipleFieldFilters="0" chartFormat="5" rowHeaderCaption="Usuario OM">
  <location ref="F25:K28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s="1" x="0"/>
        <item s="1" x="1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4" subtotal="count" baseField="0" baseItem="0"/>
    <dataField name="Encuestas" fld="3" subtotal="count" baseField="0" baseItem="0"/>
    <dataField name="Promotores" fld="0" subtotal="count" baseField="0" baseItem="0"/>
    <dataField name="Pasivos" fld="1" subtotal="count" baseField="0" baseItem="0"/>
    <dataField name="Detractores" fld="2" subtotal="count" baseField="0" baseItem="0"/>
  </dataFields>
  <formats count="26">
    <format dxfId="444">
      <pivotArea outline="0" collapsedLevelsAreSubtotals="1" fieldPosition="0"/>
    </format>
    <format dxfId="44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42">
      <pivotArea outline="0" collapsedLevelsAreSubtotals="1" fieldPosition="0"/>
    </format>
    <format dxfId="44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40">
      <pivotArea type="all" dataOnly="0" outline="0" fieldPosition="0"/>
    </format>
    <format dxfId="439">
      <pivotArea dataOnly="0" fieldPosition="0">
        <references count="1">
          <reference field="5" count="1">
            <x v="0"/>
          </reference>
        </references>
      </pivotArea>
    </format>
    <format dxfId="438">
      <pivotArea dataOnly="0" fieldPosition="0">
        <references count="1">
          <reference field="5" count="1">
            <x v="1"/>
          </reference>
        </references>
      </pivotArea>
    </format>
    <format dxfId="437">
      <pivotArea dataOnly="0" grandRow="1" fieldPosition="0"/>
    </format>
    <format dxfId="436">
      <pivotArea type="all" dataOnly="0" outline="0" fieldPosition="0"/>
    </format>
    <format dxfId="435">
      <pivotArea outline="0" collapsedLevelsAreSubtotals="1" fieldPosition="0"/>
    </format>
    <format dxfId="434">
      <pivotArea field="5" type="button" dataOnly="0" labelOnly="1" outline="0" axis="axisRow" fieldPosition="0"/>
    </format>
    <format dxfId="433">
      <pivotArea dataOnly="0" labelOnly="1" fieldPosition="0">
        <references count="1">
          <reference field="5" count="0"/>
        </references>
      </pivotArea>
    </format>
    <format dxfId="432">
      <pivotArea dataOnly="0" labelOnly="1" grandRow="1" outline="0" fieldPosition="0"/>
    </format>
    <format dxfId="4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0">
      <pivotArea dataOnly="0" grandRow="1" fieldPosition="0"/>
    </format>
    <format dxfId="429">
      <pivotArea type="all" dataOnly="0" outline="0" fieldPosition="0"/>
    </format>
    <format dxfId="428">
      <pivotArea outline="0" collapsedLevelsAreSubtotals="1" fieldPosition="0"/>
    </format>
    <format dxfId="427">
      <pivotArea field="5" type="button" dataOnly="0" labelOnly="1" outline="0" axis="axisRow" fieldPosition="0"/>
    </format>
    <format dxfId="426">
      <pivotArea dataOnly="0" labelOnly="1" fieldPosition="0">
        <references count="1">
          <reference field="5" count="0"/>
        </references>
      </pivotArea>
    </format>
    <format dxfId="425">
      <pivotArea dataOnly="0" labelOnly="1" grandRow="1" outline="0" fieldPosition="0"/>
    </format>
    <format dxfId="4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23">
      <pivotArea field="5" type="button" dataOnly="0" labelOnly="1" outline="0" axis="axisRow" fieldPosition="0"/>
    </format>
    <format dxfId="422">
      <pivotArea field="5" type="button" dataOnly="0" labelOnly="1" outline="0" axis="axisRow" fieldPosition="0"/>
    </format>
    <format dxfId="421">
      <pivotArea field="5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42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9">
      <pivotArea field="5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</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 caption="Detractores"/>
    <pivotHierarchy dragToRow="0" dragToCol="0" dragToPage="0" dragToData="1" caption="Pasivos"/>
    <pivotHierarchy dragToRow="0" dragToCol="0" dragToPage="0" dragToData="1" caption="Encuestas"/>
    <pivotHierarchy dragToRow="0" dragToCol="0" dragToPage="0" dragToData="1"/>
    <pivotHierarchy dragToRow="0" dragToCol="0" dragToPage="0" dragToData="1" caption="Promotor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2" showRowHeaders="1" showColHeaders="1" showRowStripes="1" showColStripes="0" showLastColumn="1"/>
  <rowHierarchiesUsage count="1"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CACD2B-B3F5-4A85-86FE-4F4C14530D9E}" name="TablaDinámica8" cacheId="135" applyNumberFormats="0" applyBorderFormats="0" applyFontFormats="0" applyPatternFormats="0" applyAlignmentFormats="0" applyWidthHeightFormats="1" dataCaption="Valores" tag="8ca6e5ac-eacf-470e-9736-a138c1a7ae34" updatedVersion="6" minRefreshableVersion="3" subtotalHiddenItems="1" itemPrintTitles="1" createdVersion="8" indent="0" outline="1" outlineData="1" multipleFieldFilters="0" chartFormat="6" rowHeaderCaption="Usuario OM">
  <location ref="A93:D162" firstHeaderRow="0" firstDataRow="1" firstDataCol="1" rowPageCount="1" colPageCount="1"/>
  <pivotFields count="9">
    <pivotField axis="axisRow" allDrilled="1" subtotalTop="0" showAll="0" sortType="ascending" defaultSubtotal="0">
      <items count="54">
        <item x="0" e="0"/>
        <item x="1" e="0"/>
        <item x="2" e="0"/>
        <item x="3" e="0"/>
        <item x="4" e="0"/>
        <item x="5" e="0"/>
        <item x="6"/>
        <item x="7" e="0"/>
        <item x="8" e="0"/>
        <item x="9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49" e="0"/>
        <item x="50" e="0"/>
        <item x="51"/>
        <item x="52" e="0"/>
        <item x="53" e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xis="axisRow" allDrilled="1" subtotalTop="0" showAll="0" defaultSubtotal="0">
      <items count="10">
        <item x="2" e="0"/>
        <item x="3" e="0"/>
        <item x="4"/>
        <item x="5"/>
        <item x="6" e="0"/>
        <item x="7"/>
        <item x="8" e="0"/>
        <item x="9" e="0"/>
        <item x="0" e="0"/>
        <item x="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3">
    <field x="0"/>
    <field x="3"/>
    <field x="8"/>
  </rowFields>
  <rowItems count="69">
    <i>
      <x v="9"/>
    </i>
    <i r="1">
      <x/>
    </i>
    <i r="1">
      <x v="1"/>
    </i>
    <i r="1">
      <x v="2"/>
    </i>
    <i r="2">
      <x v="1"/>
    </i>
    <i r="1">
      <x v="3"/>
    </i>
    <i r="2">
      <x v="2"/>
    </i>
    <i r="1">
      <x v="4"/>
    </i>
    <i>
      <x v="51"/>
    </i>
    <i r="1">
      <x v="5"/>
    </i>
    <i r="2">
      <x v="3"/>
    </i>
    <i r="1">
      <x v="6"/>
    </i>
    <i r="1">
      <x v="7"/>
    </i>
    <i>
      <x v="6"/>
    </i>
    <i r="1">
      <x v="8"/>
    </i>
    <i r="1">
      <x v="9"/>
    </i>
    <i r="2">
      <x/>
    </i>
    <i>
      <x v="49"/>
    </i>
    <i>
      <x v="24"/>
    </i>
    <i>
      <x v="42"/>
    </i>
    <i>
      <x v="23"/>
    </i>
    <i>
      <x v="25"/>
    </i>
    <i>
      <x v="20"/>
    </i>
    <i>
      <x v="13"/>
    </i>
    <i>
      <x v="37"/>
    </i>
    <i>
      <x v="45"/>
    </i>
    <i>
      <x v="18"/>
    </i>
    <i>
      <x v="43"/>
    </i>
    <i>
      <x v="1"/>
    </i>
    <i>
      <x v="41"/>
    </i>
    <i>
      <x v="40"/>
    </i>
    <i>
      <x v="28"/>
    </i>
    <i>
      <x v="17"/>
    </i>
    <i>
      <x v="15"/>
    </i>
    <i>
      <x v="29"/>
    </i>
    <i>
      <x v="2"/>
    </i>
    <i>
      <x v="11"/>
    </i>
    <i>
      <x v="47"/>
    </i>
    <i>
      <x v="31"/>
    </i>
    <i>
      <x v="12"/>
    </i>
    <i>
      <x v="26"/>
    </i>
    <i>
      <x v="34"/>
    </i>
    <i>
      <x v="33"/>
    </i>
    <i>
      <x v="50"/>
    </i>
    <i>
      <x v="22"/>
    </i>
    <i>
      <x/>
    </i>
    <i>
      <x v="19"/>
    </i>
    <i>
      <x v="30"/>
    </i>
    <i>
      <x v="8"/>
    </i>
    <i>
      <x v="44"/>
    </i>
    <i>
      <x v="35"/>
    </i>
    <i>
      <x v="3"/>
    </i>
    <i>
      <x v="10"/>
    </i>
    <i>
      <x v="46"/>
    </i>
    <i>
      <x v="39"/>
    </i>
    <i>
      <x v="7"/>
    </i>
    <i>
      <x v="5"/>
    </i>
    <i>
      <x v="48"/>
    </i>
    <i>
      <x v="16"/>
    </i>
    <i>
      <x v="14"/>
    </i>
    <i>
      <x v="38"/>
    </i>
    <i>
      <x v="4"/>
    </i>
    <i>
      <x v="21"/>
    </i>
    <i>
      <x v="32"/>
    </i>
    <i>
      <x v="27"/>
    </i>
    <i>
      <x v="52"/>
    </i>
    <i>
      <x v="36"/>
    </i>
    <i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14" name="[sabana].[Clasificacion].[All]" cap="All"/>
  </pageFields>
  <dataFields count="3">
    <dataField fld="5" subtotal="count" baseField="0" baseItem="0"/>
    <dataField fld="4" subtotal="count" baseField="0" baseItem="0"/>
    <dataField name="Detractores" fld="1" subtotal="count" baseField="0" baseItem="0"/>
  </dataFields>
  <formats count="17">
    <format dxfId="461">
      <pivotArea field="0" type="button" dataOnly="0" labelOnly="1" outline="0" axis="axisRow" fieldPosition="0"/>
    </format>
    <format dxfId="460">
      <pivotArea outline="0" collapsedLevelsAreSubtotals="1" fieldPosition="0"/>
    </format>
    <format dxfId="45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8">
      <pivotArea outline="0" collapsedLevelsAreSubtotals="1" fieldPosition="0"/>
    </format>
    <format dxfId="45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6">
      <pivotArea type="all" dataOnly="0" outline="0" fieldPosition="0"/>
    </format>
    <format dxfId="455">
      <pivotArea outline="0" collapsedLevelsAreSubtotals="1" fieldPosition="0"/>
    </format>
    <format dxfId="454">
      <pivotArea field="0" type="button" dataOnly="0" labelOnly="1" outline="0" axis="axisRow" fieldPosition="0"/>
    </format>
    <format dxfId="453">
      <pivotArea dataOnly="0" labelOnly="1" fieldPosition="0">
        <references count="1">
          <reference field="0" count="0"/>
        </references>
      </pivotArea>
    </format>
    <format dxfId="452">
      <pivotArea dataOnly="0" labelOnly="1" grandRow="1" outline="0" fieldPosition="0"/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type="all" dataOnly="0" outline="0" fieldPosition="0"/>
    </format>
    <format dxfId="449">
      <pivotArea outline="0" collapsedLevelsAreSubtotals="1" fieldPosition="0"/>
    </format>
    <format dxfId="448">
      <pivotArea field="0" type="button" dataOnly="0" labelOnly="1" outline="0" axis="axisRow" fieldPosition="0"/>
    </format>
    <format dxfId="447">
      <pivotArea dataOnly="0" labelOnly="1" outline="0" axis="axisValues" fieldPosition="0"/>
    </format>
    <format dxfId="446">
      <pivotArea dataOnly="0" labelOnly="1" grandRow="1" outline="0" fieldPosition="0"/>
    </format>
    <format dxfId="445">
      <pivotArea dataOnly="0" labelOnly="1" fieldPosition="0">
        <references count="1">
          <reference field="0" count="0"/>
        </references>
      </pivotArea>
    </format>
  </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4" level="1">
        <member name="[sabana].[Supervisor].&amp;[Erick Morales]"/>
        <member name="[sabana].[Supervisor].&amp;[Henry Romero]"/>
        <member name="[sabana].[Supervisor].&amp;[Jaime Flores]"/>
        <member name="[sabana].[Supervisor].&amp;[Rodrigo Gomez]"/>
      </members>
    </pivotHierarchy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 caption="Detractores"/>
    <pivotHierarchy dragToRow="0" dragToCol="0" dragToPage="0" dragToData="1" caption="Pasivos"/>
    <pivotHierarchy dragToRow="0" dragToCol="0" dragToPage="0" dragToData="1" caption="Encuestas"/>
    <pivotHierarchy dragToRow="0" dragToCol="0" dragToPage="0" dragToData="1"/>
    <pivotHierarchy dragToRow="0" dragToCol="0" dragToPage="0" dragToData="1" caption="Promotor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Recuento distinto de Id usuario"/>
  </pivotHierarchies>
  <pivotTableStyleInfo name="PivotStyleLight2" showRowHeaders="1" showColHeaders="1" showRowStripes="1" showColStripes="0" showLastColumn="1"/>
  <rowHierarchiesUsage count="3">
    <rowHierarchyUsage hierarchyUsage="3"/>
    <rowHierarchyUsage hierarchyUsage="4"/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3B3AA8-2B3D-42DA-8A94-9AB303CA6E26}" name="TablaDinámica3" cacheId="84" applyNumberFormats="0" applyBorderFormats="0" applyFontFormats="0" applyPatternFormats="0" applyAlignmentFormats="0" applyWidthHeightFormats="1" dataCaption="Valores" tag="740bdd95-17f4-4b2d-bfce-6f6f7b9a6059" updatedVersion="6" minRefreshableVersion="3" subtotalHiddenItems="1" itemPrintTitles="1" createdVersion="8" indent="0" outline="1" outlineData="1" multipleFieldFilters="0" chartFormat="5" rowHeaderCaption="Usuario OM">
  <location ref="F18:K21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s="1" x="0"/>
        <item s="1" x="1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4" subtotal="count" baseField="0" baseItem="0"/>
    <dataField name="Encuestas" fld="3" subtotal="count" baseField="0" baseItem="0"/>
    <dataField name="Promotores" fld="0" subtotal="count" baseField="0" baseItem="0"/>
    <dataField name="Pasivos" fld="1" subtotal="count" baseField="0" baseItem="0"/>
    <dataField name="Detractores" fld="2" subtotal="count" baseField="0" baseItem="0"/>
  </dataFields>
  <formats count="26">
    <format dxfId="487">
      <pivotArea outline="0" collapsedLevelsAreSubtotals="1" fieldPosition="0"/>
    </format>
    <format dxfId="48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85">
      <pivotArea outline="0" collapsedLevelsAreSubtotals="1" fieldPosition="0"/>
    </format>
    <format dxfId="48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83">
      <pivotArea type="all" dataOnly="0" outline="0" fieldPosition="0"/>
    </format>
    <format dxfId="482">
      <pivotArea dataOnly="0" grandRow="1" fieldPosition="0"/>
    </format>
    <format dxfId="481">
      <pivotArea type="all" dataOnly="0" outline="0" fieldPosition="0"/>
    </format>
    <format dxfId="480">
      <pivotArea outline="0" collapsedLevelsAreSubtotals="1" fieldPosition="0"/>
    </format>
    <format dxfId="479">
      <pivotArea field="5" type="button" dataOnly="0" labelOnly="1" outline="0" axis="axisRow" fieldPosition="0"/>
    </format>
    <format dxfId="478">
      <pivotArea dataOnly="0" labelOnly="1" fieldPosition="0">
        <references count="1">
          <reference field="5" count="0"/>
        </references>
      </pivotArea>
    </format>
    <format dxfId="477">
      <pivotArea dataOnly="0" labelOnly="1" grandRow="1" outline="0" fieldPosition="0"/>
    </format>
    <format dxfId="47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75">
      <pivotArea dataOnly="0" fieldPosition="0">
        <references count="1">
          <reference field="5" count="1">
            <x v="1"/>
          </reference>
        </references>
      </pivotArea>
    </format>
    <format dxfId="474">
      <pivotArea dataOnly="0" grandRow="1" fieldPosition="0"/>
    </format>
    <format dxfId="473">
      <pivotArea type="all" dataOnly="0" outline="0" fieldPosition="0"/>
    </format>
    <format dxfId="472">
      <pivotArea outline="0" collapsedLevelsAreSubtotals="1" fieldPosition="0"/>
    </format>
    <format dxfId="471">
      <pivotArea field="5" type="button" dataOnly="0" labelOnly="1" outline="0" axis="axisRow" fieldPosition="0"/>
    </format>
    <format dxfId="470">
      <pivotArea dataOnly="0" labelOnly="1" fieldPosition="0">
        <references count="1">
          <reference field="5" count="0"/>
        </references>
      </pivotArea>
    </format>
    <format dxfId="469">
      <pivotArea dataOnly="0" labelOnly="1" grandRow="1" outline="0" fieldPosition="0"/>
    </format>
    <format dxfId="4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67">
      <pivotArea field="5" type="button" dataOnly="0" labelOnly="1" outline="0" axis="axisRow" fieldPosition="0"/>
    </format>
    <format dxfId="46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65">
      <pivotArea field="5" type="button" dataOnly="0" labelOnly="1" outline="0" axis="axisRow" fieldPosition="0"/>
    </format>
    <format dxfId="46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63">
      <pivotArea field="5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462">
      <pivotArea field="5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</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 caption="Detractores"/>
    <pivotHierarchy dragToRow="0" dragToCol="0" dragToPage="0" dragToData="1" caption="Pasivos"/>
    <pivotHierarchy dragToRow="0" dragToCol="0" dragToPage="0" dragToData="1" caption="Encuestas"/>
    <pivotHierarchy dragToRow="0" dragToCol="0" dragToPage="0" dragToData="1"/>
    <pivotHierarchy dragToRow="0" dragToCol="0" dragToPage="0" dragToData="1" caption="Promotor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2" showRowHeaders="1" showColHeaders="1" showRowStripes="1" showColStripes="0" showLastColumn="1"/>
  <rowHierarchiesUsage count="1"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97B197-755B-4E84-BD2C-9F551123D136}" name="TablaDinámica1" cacheId="81" applyNumberFormats="0" applyBorderFormats="0" applyFontFormats="0" applyPatternFormats="0" applyAlignmentFormats="0" applyWidthHeightFormats="1" dataCaption="Valores" tag="26c285a7-3898-4fe7-967c-72b8aa84be41" updatedVersion="6" minRefreshableVersion="3" subtotalHiddenItems="1" itemPrintTitles="1" createdVersion="8" indent="0" outline="1" outlineData="1" multipleFieldFilters="0" chartFormat="5" rowHeaderCaption="Usuario OM">
  <location ref="T2:Y7" firstHeaderRow="0" firstDataRow="1" firstDataCol="1"/>
  <pivotFields count="8"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2" subtotal="count" baseField="0" baseItem="0"/>
    <dataField fld="3" subtotal="count" baseField="0" baseItem="0"/>
    <dataField fld="6" subtotal="count" baseField="0" baseItem="0"/>
    <dataField fld="4" subtotal="count" baseField="0" baseItem="0"/>
    <dataField fld="5" subtotal="count" baseField="0" baseItem="0"/>
  </dataFields>
  <formats count="33">
    <format dxfId="520">
      <pivotArea outline="0" collapsedLevelsAreSubtotals="1" fieldPosition="0"/>
    </format>
    <format dxfId="519">
      <pivotArea outline="0" collapsedLevelsAreSubtotals="1" fieldPosition="0"/>
    </format>
    <format dxfId="518">
      <pivotArea type="all" dataOnly="0" outline="0" fieldPosition="0"/>
    </format>
    <format dxfId="517">
      <pivotArea outline="0" collapsedLevelsAreSubtotals="1" fieldPosition="0"/>
    </format>
    <format dxfId="516">
      <pivotArea field="1" type="button" dataOnly="0" labelOnly="1" outline="0" axis="axisRow" fieldPosition="0"/>
    </format>
    <format dxfId="515">
      <pivotArea dataOnly="0" labelOnly="1" fieldPosition="0">
        <references count="1">
          <reference field="1" count="0"/>
        </references>
      </pivotArea>
    </format>
    <format dxfId="514">
      <pivotArea dataOnly="0" labelOnly="1" grandRow="1" outline="0" fieldPosition="0"/>
    </format>
    <format dxfId="5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12">
      <pivotArea field="1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511">
      <pivotArea type="all" dataOnly="0" outline="0" fieldPosition="0"/>
    </format>
    <format dxfId="510">
      <pivotArea outline="0" collapsedLevelsAreSubtotals="1" fieldPosition="0"/>
    </format>
    <format dxfId="509">
      <pivotArea field="1" type="button" dataOnly="0" labelOnly="1" outline="0" axis="axisRow" fieldPosition="0"/>
    </format>
    <format dxfId="508">
      <pivotArea dataOnly="0" labelOnly="1" fieldPosition="0">
        <references count="1">
          <reference field="1" count="0"/>
        </references>
      </pivotArea>
    </format>
    <format dxfId="507">
      <pivotArea dataOnly="0" labelOnly="1" grandRow="1" outline="0" fieldPosition="0"/>
    </format>
    <format dxfId="50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05">
      <pivotArea field="1" type="button" dataOnly="0" labelOnly="1" outline="0" axis="axisRow" fieldPosition="0"/>
    </format>
    <format dxfId="50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03">
      <pivotArea field="1" type="button" dataOnly="0" labelOnly="1" outline="0" axis="axisRow" fieldPosition="0"/>
    </format>
    <format dxfId="50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01">
      <pivotArea field="1" type="button" dataOnly="0" labelOnly="1" outline="0" axis="axisRow" fieldPosition="0"/>
    </format>
    <format dxfId="50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99">
      <pivotArea type="all" dataOnly="0" outline="0" fieldPosition="0"/>
    </format>
    <format dxfId="498">
      <pivotArea outline="0" collapsedLevelsAreSubtotals="1" fieldPosition="0"/>
    </format>
    <format dxfId="497">
      <pivotArea field="1" type="button" dataOnly="0" labelOnly="1" outline="0" axis="axisRow" fieldPosition="0"/>
    </format>
    <format dxfId="496">
      <pivotArea dataOnly="0" labelOnly="1" fieldPosition="0">
        <references count="1">
          <reference field="1" count="0"/>
        </references>
      </pivotArea>
    </format>
    <format dxfId="495">
      <pivotArea dataOnly="0" labelOnly="1" grandRow="1" outline="0" fieldPosition="0"/>
    </format>
    <format dxfId="4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93">
      <pivotArea type="all" dataOnly="0" outline="0" fieldPosition="0"/>
    </format>
    <format dxfId="492">
      <pivotArea outline="0" collapsedLevelsAreSubtotals="1" fieldPosition="0"/>
    </format>
    <format dxfId="491">
      <pivotArea field="1" type="button" dataOnly="0" labelOnly="1" outline="0" axis="axisRow" fieldPosition="0"/>
    </format>
    <format dxfId="490">
      <pivotArea dataOnly="0" labelOnly="1" fieldPosition="0">
        <references count="1">
          <reference field="1" count="0"/>
        </references>
      </pivotArea>
    </format>
    <format dxfId="489">
      <pivotArea dataOnly="0" labelOnly="1" grandRow="1" outline="0" fieldPosition="0"/>
    </format>
    <format dxfId="48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2">
    <conditionalFormat priority="13">
      <pivotAreas count="1">
        <pivotArea type="data" grandRow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4">
      <pivotAreas count="1">
        <pivotArea type="data" grandRow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 caption="Detractores"/>
    <pivotHierarchy dragToRow="0" dragToCol="0" dragToPage="0" dragToData="1" caption="Pasivos"/>
    <pivotHierarchy dragToRow="0" dragToCol="0" dragToPage="0" dragToData="1" caption="Encuestas"/>
    <pivotHierarchy dragToRow="0" dragToCol="0" dragToPage="0" dragToData="1"/>
    <pivotHierarchy dragToRow="0" dragToCol="0" dragToPage="0" dragToData="1" caption="Promotor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2" showRowHeaders="1" showColHeaders="1" showRowStripes="1" showColStripes="0" showLastColumn="1"/>
  <rowHierarchiesUsage count="1"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4EE030-E053-4DE3-8AEF-C141C7F38018}" name="TablaDinámica2" cacheId="90" applyNumberFormats="0" applyBorderFormats="0" applyFontFormats="0" applyPatternFormats="0" applyAlignmentFormats="0" applyWidthHeightFormats="1" dataCaption="Valores" tag="22c49438-4024-4f05-9c04-32399b8ebccf" updatedVersion="6" minRefreshableVersion="3" subtotalHiddenItems="1" itemPrintTitles="1" createdVersion="8" indent="0" outline="1" outlineData="1" multipleFieldFilters="0" chartFormat="6" rowHeaderCaption="Usuario OM">
  <location ref="A34:F89" firstHeaderRow="0" firstDataRow="1" firstDataCol="1"/>
  <pivotFields count="9">
    <pivotField axis="axisRow" allDrilled="1" subtotalTop="0" showAll="0" sortType="ascending" defaultSubtotal="0" defaultAttributeDrillState="1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55">
    <i>
      <x v="9"/>
    </i>
    <i>
      <x v="51"/>
    </i>
    <i>
      <x v="6"/>
    </i>
    <i>
      <x v="49"/>
    </i>
    <i>
      <x v="24"/>
    </i>
    <i>
      <x v="42"/>
    </i>
    <i>
      <x v="23"/>
    </i>
    <i>
      <x v="25"/>
    </i>
    <i>
      <x v="20"/>
    </i>
    <i>
      <x v="13"/>
    </i>
    <i>
      <x v="37"/>
    </i>
    <i>
      <x v="45"/>
    </i>
    <i>
      <x v="18"/>
    </i>
    <i>
      <x v="43"/>
    </i>
    <i>
      <x v="1"/>
    </i>
    <i>
      <x v="41"/>
    </i>
    <i>
      <x v="40"/>
    </i>
    <i>
      <x v="28"/>
    </i>
    <i>
      <x v="17"/>
    </i>
    <i>
      <x v="15"/>
    </i>
    <i>
      <x v="29"/>
    </i>
    <i>
      <x v="2"/>
    </i>
    <i>
      <x v="11"/>
    </i>
    <i>
      <x v="47"/>
    </i>
    <i>
      <x v="31"/>
    </i>
    <i>
      <x v="12"/>
    </i>
    <i>
      <x v="26"/>
    </i>
    <i>
      <x v="34"/>
    </i>
    <i>
      <x v="33"/>
    </i>
    <i>
      <x v="50"/>
    </i>
    <i>
      <x v="22"/>
    </i>
    <i>
      <x/>
    </i>
    <i>
      <x v="19"/>
    </i>
    <i>
      <x v="30"/>
    </i>
    <i>
      <x v="8"/>
    </i>
    <i>
      <x v="44"/>
    </i>
    <i>
      <x v="35"/>
    </i>
    <i>
      <x v="3"/>
    </i>
    <i>
      <x v="10"/>
    </i>
    <i>
      <x v="46"/>
    </i>
    <i>
      <x v="39"/>
    </i>
    <i>
      <x v="7"/>
    </i>
    <i>
      <x v="5"/>
    </i>
    <i>
      <x v="48"/>
    </i>
    <i>
      <x v="16"/>
    </i>
    <i>
      <x v="14"/>
    </i>
    <i>
      <x v="38"/>
    </i>
    <i>
      <x v="4"/>
    </i>
    <i>
      <x v="21"/>
    </i>
    <i>
      <x v="32"/>
    </i>
    <i>
      <x v="27"/>
    </i>
    <i>
      <x v="52"/>
    </i>
    <i>
      <x v="36"/>
    </i>
    <i>
      <x v="5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5" subtotal="count" baseField="0" baseItem="0"/>
    <dataField name="Encuestas" fld="4" subtotal="count" baseField="0" baseItem="0"/>
    <dataField name="Promotores" fld="1" subtotal="count" baseField="0" baseItem="0"/>
    <dataField name="Pasivos" fld="2" subtotal="count" baseField="0" baseItem="0"/>
    <dataField name="Detractores" fld="3" subtotal="count" baseField="0" baseItem="0"/>
  </dataFields>
  <formats count="13">
    <format dxfId="533">
      <pivotArea field="0" type="button" dataOnly="0" labelOnly="1" outline="0" axis="axisRow" fieldPosition="0"/>
    </format>
    <format dxfId="532">
      <pivotArea outline="0" collapsedLevelsAreSubtotals="1" fieldPosition="0"/>
    </format>
    <format dxfId="5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30">
      <pivotArea outline="0" collapsedLevelsAreSubtotals="1" fieldPosition="0"/>
    </format>
    <format dxfId="5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28">
      <pivotArea type="all" dataOnly="0" outline="0" fieldPosition="0"/>
    </format>
    <format dxfId="527">
      <pivotArea outline="0" collapsedLevelsAreSubtotals="1" fieldPosition="0"/>
    </format>
    <format dxfId="526">
      <pivotArea field="0" type="button" dataOnly="0" labelOnly="1" outline="0" axis="axisRow" fieldPosition="0"/>
    </format>
    <format dxfId="525">
      <pivotArea dataOnly="0" labelOnly="1" fieldPosition="0">
        <references count="1">
          <reference field="0" count="0"/>
        </references>
      </pivotArea>
    </format>
    <format dxfId="524">
      <pivotArea dataOnly="0" labelOnly="1" grandRow="1" outline="0" fieldPosition="0"/>
    </format>
    <format dxfId="5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21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3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4" level="1">
        <member name="[sabana].[Supervisor].&amp;[Erick Morales]"/>
        <member name="[sabana].[Supervisor].&amp;[Henry Romero]"/>
        <member name="[sabana].[Supervisor].&amp;[Jaime Flores]"/>
        <member name="[sabana].[Supervisor].&amp;[Rodrigo Gomez]"/>
      </members>
    </pivotHierarchy>
    <pivotHierarchy dragToData="1"/>
    <pivotHierarchy multipleItemSelectionAllowed="1" dragToData="1"/>
    <pivotHierarchy multipleItemSelectionAllowed="1" dragToData="1"/>
    <pivotHierarchy multipleItemSelectionAllowed="1" dragToData="1">
      <members count="1" level="1">
        <member name="[sabana].[Tipo de encuesta].&amp;[Completa]"/>
      </members>
    </pivotHierarchy>
    <pivotHierarchy dragToRow="0" dragToCol="0" dragToPage="0" dragToData="1" caption="Detractores"/>
    <pivotHierarchy dragToRow="0" dragToCol="0" dragToPage="0" dragToData="1" caption="Pasivos"/>
    <pivotHierarchy dragToRow="0" dragToCol="0" dragToPage="0" dragToData="1" caption="Encuestas"/>
    <pivotHierarchy dragToRow="0" dragToCol="0" dragToPage="0" dragToData="1"/>
    <pivotHierarchy dragToRow="0" dragToCol="0" dragToPage="0" dragToData="1" caption="Promotor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2" showRowHeaders="1" showColHeaders="1" showRowStripes="1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ban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pervisor" xr10:uid="{B9BB4C96-CEFD-4205-96BF-8F6F53073527}" sourceName="[sabana].[Supervisor]">
  <pivotTables>
    <pivotTable tabId="1" name="TablaDinámica2"/>
    <pivotTable tabId="1" name="TablaDinámica8"/>
  </pivotTables>
  <data>
    <olap pivotCacheId="2105313128">
      <levels count="2">
        <level uniqueName="[sabana].[Supervisor].[(All)]" sourceCaption="(All)" count="0"/>
        <level uniqueName="[sabana].[Supervisor].[Supervisor]" sourceCaption="Supervisor" count="5">
          <ranges>
            <range startItem="0">
              <i n="[sabana].[Supervisor].&amp;" c="(en blanco)"/>
              <i n="[sabana].[Supervisor].&amp;[Erick Morales]" c="Erick Morales"/>
              <i n="[sabana].[Supervisor].&amp;[Henry Romero]" c="Henry Romero"/>
              <i n="[sabana].[Supervisor].&amp;[Jaime Flores]" c="Jaime Flores"/>
              <i n="[sabana].[Supervisor].&amp;[Rodrigo Gomez]" c="Rodrigo Gomez"/>
            </range>
          </ranges>
        </level>
      </levels>
      <selections count="4">
        <selection n="[sabana].[Supervisor].&amp;[Erick Morales]"/>
        <selection n="[sabana].[Supervisor].&amp;[Henry Romero]"/>
        <selection n="[sabana].[Supervisor].&amp;[Jaime Flores]"/>
        <selection n="[sabana].[Supervisor].&amp;[Rodrigo Gomez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8"/>
        <pivotTable tabId="4294967295" name="PivotChartTable3"/>
        <pivotTable tabId="4294967295" name="PivotChartTable2"/>
        <pivotTable tabId="4294967295" name="PivotChartTable4"/>
        <pivotTable tabId="4294967295" name="PivotChartTable5"/>
        <pivotTable tabId="4294967295" name="PivotChartTable1"/>
        <pivotTable tabId="4294967295" name="PivotChartTable6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nal" xr10:uid="{DFB1B9BB-592D-4B3D-8578-3692A35968D1}" sourceName="[sabana].[Canal]">
  <pivotTables>
    <pivotTable tabId="1" name="TablaDinámica2"/>
    <pivotTable tabId="1" name="TablaDinámica1"/>
    <pivotTable tabId="1" name="TablaDinámica3"/>
    <pivotTable tabId="1" name="TablaDinámica4"/>
    <pivotTable tabId="1" name="TablaDinámica8"/>
  </pivotTables>
  <data>
    <olap pivotCacheId="2105313128">
      <levels count="2">
        <level uniqueName="[sabana].[Canal].[(All)]" sourceCaption="(All)" count="0"/>
        <level uniqueName="[sabana].[Canal].[Canal]" sourceCaption="Canal" count="3">
          <ranges>
            <range startItem="0">
              <i n="[sabana].[Canal].&amp;[Messenger]" c="Messenger"/>
              <i n="[sabana].[Canal].&amp;[WhatsApp]" c="WhatsApp"/>
              <i n="[sabana].[Canal].&amp;[Instagram]" c="Instagram" nd="1"/>
            </range>
          </ranges>
        </level>
      </levels>
      <selections count="1">
        <selection n="[sabana].[Canal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8"/>
        <pivotTable tabId="4294967295" name="PivotChartTable3"/>
        <pivotTable tabId="4294967295" name="PivotChartTable2"/>
        <pivotTable tabId="4294967295" name="PivotChartTable4"/>
        <pivotTable tabId="4294967295" name="PivotChartTable5"/>
        <pivotTable tabId="4294967295" name="PivotChartTable1"/>
        <pivotTable tabId="4294967295" name="PivotChartTable6"/>
      </x15:slicerCachePivotTables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encuesta" xr10:uid="{DDD5A471-F383-4F3E-A436-C801629400B3}" sourceName="[sabana].[Tipo de encuesta]">
  <pivotTables>
    <pivotTable tabId="1" name="TablaDinámica1"/>
    <pivotTable tabId="1" name="TablaDinámica2"/>
    <pivotTable tabId="1" name="TablaDinámica3"/>
    <pivotTable tabId="1" name="TablaDinámica4"/>
    <pivotTable tabId="1" name="TablaDinámica8"/>
  </pivotTables>
  <data>
    <olap pivotCacheId="2105313128">
      <levels count="2">
        <level uniqueName="[sabana].[Tipo de encuesta].[(All)]" sourceCaption="(All)" count="0"/>
        <level uniqueName="[sabana].[Tipo de encuesta].[Tipo de encuesta]" sourceCaption="Tipo de encuesta" count="2">
          <ranges>
            <range startItem="0">
              <i n="[sabana].[Tipo de encuesta].&amp;[Completa]" c="Completa"/>
              <i n="[sabana].[Tipo de encuesta].&amp;[Parcial]" c="Parcial"/>
            </range>
          </ranges>
        </level>
      </levels>
      <selections count="1">
        <selection n="[sabana].[Tipo de encuesta].&amp;[Completa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  <pivotTable tabId="4294967295" name="PivotChartTable5"/>
        <pivotTable tabId="4294967295" name="PivotChartTable8"/>
        <pivotTable tabId="4294967295" name="PivotChartTable4"/>
        <pivotTable tabId="4294967295" name="PivotChartTable3"/>
        <pivotTable tabId="4294967295" name="PivotChartTable1"/>
        <pivotTable tabId="4294967295" name="PivotChartTable6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pervisor" xr10:uid="{C7EA8FA1-E0A5-4C81-BC47-35D360590141}" cache="SegmentaciónDeDatos_Supervisor" caption="Supervisor" level="1" style="SlicerStyleLight4" rowHeight="241300"/>
  <slicer name="Canal" xr10:uid="{05FA300E-BFE8-4D34-9E9B-A66827F7FB70}" cache="SegmentaciónDeDatos_Canal" caption="Canal" level="1" style="SlicerStyleLight4" rowHeight="241300"/>
  <slicer name="Tipo de encuesta" xr10:uid="{6DDF0ED3-B6B0-40C5-8F9D-5301F8111FEE}" cache="SegmentaciónDeDatos_Tipo_de_encuesta" caption="Tipo de encuesta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37D1DE-B9ED-41CA-B233-6058CFAE4482}" name="Tabla2" displayName="Tabla2" ref="A2:B8" headerRowCount="0" totalsRowShown="0" headerRowDxfId="418" dataDxfId="417">
  <tableColumns count="2">
    <tableColumn id="1" xr3:uid="{04423BB6-2C9B-43EB-A755-63905E46896F}" name="TOTAL Encuestas" headerRowDxfId="416" dataDxfId="415"/>
    <tableColumn id="2" xr3:uid="{36F41913-2D1A-48F5-87E6-32699887369B}" name="0" headerRowDxfId="414" dataDxfId="413">
      <calculatedColumnFormula>GETPIVOTDATA("[Measures].[Conteo_Respuesta]",Hoja1!$T$2)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1B84EE0-9E9F-42CE-8B8C-AB139F15CDEC}" name="Tabla5" displayName="Tabla5" ref="A11:C15" headerRowCount="0" totalsRowShown="0" headerRowDxfId="412" dataDxfId="411">
  <tableColumns count="3">
    <tableColumn id="1" xr3:uid="{ABC84E47-C040-4696-959F-69B09A280BBC}" name="Hoy" headerRowDxfId="410" dataDxfId="409"/>
    <tableColumn id="2" xr3:uid="{E6A1227C-C688-43F3-A5BD-CDDBC902604D}" name="59" headerRowDxfId="408" dataDxfId="407"/>
    <tableColumn id="3" xr3:uid="{7B84CAD2-2E7F-4272-9EB6-7E7F7B9F53C9}" name="Columna1" headerRowDxfId="406" dataDxfId="40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6BDD12-A84B-4671-B8C4-A3410387FFB1}" name="Tabla6" displayName="Tabla6" ref="A9:B10" headerRowCount="0" totalsRowShown="0" headerRowDxfId="404" dataDxfId="403">
  <tableColumns count="2">
    <tableColumn id="1" xr3:uid="{9F680D31-2A2A-4DCC-B2BD-2DDB5A416D70}" name="Santa Elena " headerRowDxfId="402" dataDxfId="401"/>
    <tableColumn id="2" xr3:uid="{9C2783A3-563C-44BD-9A84-4A5AD3B8F9C1}" name="0" dataDxfId="400" dataCellStyle="Porcentaje">
      <calculatedColumnFormula>GETPIVOTDATA("[Measures].[tNPS]",Hoja1!$T$2)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3940E41-61B3-4432-9E18-ABBD4812009F}" name="Tabla7" displayName="Tabla7" ref="A16:B18" totalsRowShown="0" headerRowDxfId="399" dataDxfId="398">
  <tableColumns count="2">
    <tableColumn id="1" xr3:uid="{2E584DB9-E52B-4A8A-A69C-65DF9145206E}" name="10:00 Detractores" dataDxfId="397"/>
    <tableColumn id="2" xr3:uid="{D0817541-2DB5-4395-BB81-05A7320C54C8}" name="3" dataDxfId="39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2ECCF62-2B60-4AB4-BEA1-4EC29BD3ECDD}" name="Tabla710" displayName="Tabla710" ref="A22:B24" totalsRowShown="0" headerRowDxfId="395" dataDxfId="394">
  <tableColumns count="2">
    <tableColumn id="1" xr3:uid="{BA887809-4D08-43D9-8F16-69530CDF9187}" name="10:00 Hoy" dataDxfId="393"/>
    <tableColumn id="2" xr3:uid="{F5B30DF5-F47E-4DD7-A83C-BAB50D3B5D79}" name="75" dataDxfId="39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3F5934-F2A3-41D1-9889-05C0DC298CB3}" name="Tabla79" displayName="Tabla79" ref="A19:B21" totalsRowShown="0" headerRowDxfId="391" dataDxfId="390">
  <tableColumns count="2">
    <tableColumn id="1" xr3:uid="{243150E9-54BD-4E4E-B494-9952DBE1BD97}" name="10:00 Promotores" dataDxfId="389"/>
    <tableColumn id="2" xr3:uid="{5D601FBC-3A33-4068-B2CA-C3F4C2A8C192}" name="14" dataDxfId="38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ABE4B1-EA44-4BD0-9822-DBE3649DF104}" name="Tabla1" displayName="Tabla1" ref="A1:C76" totalsRowShown="0" dataDxfId="387">
  <autoFilter ref="A1:C76" xr:uid="{07ABE4B1-EA44-4BD0-9822-DBE3649DF104}"/>
  <tableColumns count="3">
    <tableColumn id="1" xr3:uid="{A525AA11-6158-4340-B8D0-67C11F478C2E}" name="Operador"/>
    <tableColumn id="2" xr3:uid="{9B567BE5-5642-476B-BE96-B27BFAD18EFB}" name="Supervisor"/>
    <tableColumn id="3" xr3:uid="{C20301F4-133F-4FAC-92FA-44573C59423E}" name="Siti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10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nthony.valencia@clarosv" TargetMode="External"/><Relationship Id="rId3" Type="http://schemas.openxmlformats.org/officeDocument/2006/relationships/hyperlink" Target="mailto:hellen.caceres@clarosv" TargetMode="External"/><Relationship Id="rId7" Type="http://schemas.openxmlformats.org/officeDocument/2006/relationships/hyperlink" Target="mailto:estefany.mendezg@clarosv" TargetMode="External"/><Relationship Id="rId2" Type="http://schemas.openxmlformats.org/officeDocument/2006/relationships/hyperlink" Target="mailto:adriana.quintana@clarosv" TargetMode="External"/><Relationship Id="rId1" Type="http://schemas.openxmlformats.org/officeDocument/2006/relationships/hyperlink" Target="mailto:fabiola.vasquez@clarosv" TargetMode="External"/><Relationship Id="rId6" Type="http://schemas.openxmlformats.org/officeDocument/2006/relationships/hyperlink" Target="mailto:daniel.moran@clarosv" TargetMode="External"/><Relationship Id="rId11" Type="http://schemas.openxmlformats.org/officeDocument/2006/relationships/table" Target="../tables/table7.xml"/><Relationship Id="rId5" Type="http://schemas.openxmlformats.org/officeDocument/2006/relationships/hyperlink" Target="mailto:oscar.perezp@clarosv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guevara.mauricio@clarosv" TargetMode="External"/><Relationship Id="rId9" Type="http://schemas.openxmlformats.org/officeDocument/2006/relationships/hyperlink" Target="mailto:diego.erazo@claros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KN544"/>
  <sheetViews>
    <sheetView showGridLines="0" tabSelected="1" topLeftCell="A88" zoomScale="85" zoomScaleNormal="85" workbookViewId="0">
      <selection activeCell="A109" sqref="A109:A110"/>
    </sheetView>
  </sheetViews>
  <sheetFormatPr baseColWidth="10" defaultColWidth="8.7109375" defaultRowHeight="15"/>
  <cols>
    <col min="1" max="1" width="28.42578125" style="1" customWidth="1"/>
    <col min="2" max="2" width="15.5703125" style="1" customWidth="1"/>
    <col min="3" max="3" width="22.5703125" style="45" bestFit="1" customWidth="1"/>
    <col min="4" max="4" width="10.28515625" style="1" customWidth="1"/>
    <col min="5" max="5" width="8.7109375" style="1"/>
    <col min="6" max="6" width="29.140625" style="1" bestFit="1" customWidth="1"/>
    <col min="7" max="7" width="15.85546875" style="1" customWidth="1"/>
    <col min="8" max="8" width="29.140625" style="1" bestFit="1" customWidth="1"/>
    <col min="9" max="10" width="9.5703125" style="1" bestFit="1" customWidth="1"/>
    <col min="11" max="11" width="10.85546875" style="1" bestFit="1" customWidth="1"/>
    <col min="12" max="12" width="7.42578125" style="1" bestFit="1" customWidth="1"/>
    <col min="13" max="13" width="11" style="1" bestFit="1" customWidth="1"/>
    <col min="14" max="19" width="8.7109375" style="1"/>
    <col min="20" max="20" width="14.28515625" style="1" customWidth="1"/>
    <col min="21" max="21" width="14.5703125" style="1" customWidth="1"/>
    <col min="22" max="22" width="11.28515625" style="1" customWidth="1"/>
    <col min="23" max="23" width="7.42578125" style="1" bestFit="1" customWidth="1"/>
    <col min="24" max="24" width="11.42578125" style="1" bestFit="1" customWidth="1"/>
    <col min="25" max="25" width="9.7109375" style="1" bestFit="1" customWidth="1"/>
    <col min="26" max="26" width="2.85546875" style="1" customWidth="1"/>
    <col min="27" max="16384" width="8.7109375" style="1"/>
  </cols>
  <sheetData>
    <row r="2" spans="20:25">
      <c r="T2" s="14" t="s">
        <v>0</v>
      </c>
      <c r="U2" s="14" t="s">
        <v>1</v>
      </c>
      <c r="V2" s="14" t="s">
        <v>2</v>
      </c>
      <c r="W2" s="14" t="s">
        <v>3</v>
      </c>
      <c r="X2" s="14" t="s">
        <v>4</v>
      </c>
      <c r="Y2" s="14" t="s">
        <v>5</v>
      </c>
    </row>
    <row r="3" spans="20:25">
      <c r="T3" s="16" t="s">
        <v>6</v>
      </c>
      <c r="U3" s="15">
        <v>0.66990291262135926</v>
      </c>
      <c r="V3" s="44">
        <v>11</v>
      </c>
      <c r="W3" s="44">
        <v>12</v>
      </c>
      <c r="X3" s="44">
        <v>80</v>
      </c>
      <c r="Y3" s="44">
        <v>103</v>
      </c>
    </row>
    <row r="4" spans="20:25">
      <c r="T4" s="16" t="s">
        <v>11</v>
      </c>
      <c r="U4" s="15">
        <v>0.73684210526315785</v>
      </c>
      <c r="V4" s="44">
        <v>3</v>
      </c>
      <c r="W4" s="44">
        <v>4</v>
      </c>
      <c r="X4" s="44">
        <v>31</v>
      </c>
      <c r="Y4" s="44">
        <v>38</v>
      </c>
    </row>
    <row r="5" spans="20:25">
      <c r="T5" s="16" t="s">
        <v>7</v>
      </c>
      <c r="U5" s="15">
        <v>0.60869565217391297</v>
      </c>
      <c r="V5" s="44">
        <v>6</v>
      </c>
      <c r="W5" s="44">
        <v>6</v>
      </c>
      <c r="X5" s="44">
        <v>34</v>
      </c>
      <c r="Y5" s="44">
        <v>46</v>
      </c>
    </row>
    <row r="6" spans="20:25">
      <c r="T6" s="16" t="s">
        <v>8</v>
      </c>
      <c r="U6" s="15">
        <v>0.78181818181818175</v>
      </c>
      <c r="V6" s="44">
        <v>3</v>
      </c>
      <c r="W6" s="44">
        <v>6</v>
      </c>
      <c r="X6" s="44">
        <v>46</v>
      </c>
      <c r="Y6" s="44">
        <v>55</v>
      </c>
    </row>
    <row r="7" spans="20:25">
      <c r="T7" s="16" t="s">
        <v>9</v>
      </c>
      <c r="U7" s="17">
        <v>0.69421487603305787</v>
      </c>
      <c r="V7" s="44">
        <v>23</v>
      </c>
      <c r="W7" s="44">
        <v>28</v>
      </c>
      <c r="X7" s="44">
        <v>191</v>
      </c>
      <c r="Y7" s="44">
        <v>242</v>
      </c>
    </row>
    <row r="16" spans="20:25" ht="15.75" thickBot="1">
      <c r="T16"/>
      <c r="U16"/>
      <c r="V16"/>
      <c r="W16"/>
      <c r="X16"/>
      <c r="Y16"/>
    </row>
    <row r="17" spans="6:25" ht="15.75" thickBot="1">
      <c r="F17" s="49" t="s">
        <v>10</v>
      </c>
      <c r="G17" s="50"/>
      <c r="H17" s="50"/>
      <c r="I17" s="50"/>
      <c r="J17" s="50"/>
      <c r="K17" s="51"/>
      <c r="T17"/>
      <c r="U17"/>
      <c r="V17"/>
      <c r="W17"/>
      <c r="X17"/>
      <c r="Y17"/>
    </row>
    <row r="18" spans="6:25" ht="15.75" thickBot="1">
      <c r="F18" s="6" t="s">
        <v>0</v>
      </c>
      <c r="G18" s="7" t="s">
        <v>1</v>
      </c>
      <c r="H18" s="8" t="s">
        <v>5</v>
      </c>
      <c r="I18" s="8" t="s">
        <v>4</v>
      </c>
      <c r="J18" s="8" t="s">
        <v>3</v>
      </c>
      <c r="K18" s="9" t="s">
        <v>2</v>
      </c>
      <c r="T18"/>
      <c r="U18"/>
      <c r="V18"/>
      <c r="W18"/>
      <c r="X18"/>
      <c r="Y18"/>
    </row>
    <row r="19" spans="6:25">
      <c r="F19" s="12" t="s">
        <v>11</v>
      </c>
      <c r="G19" s="10">
        <v>0.73684210526315785</v>
      </c>
      <c r="H19" s="36">
        <v>38</v>
      </c>
      <c r="I19" s="36">
        <v>31</v>
      </c>
      <c r="J19" s="36">
        <v>4</v>
      </c>
      <c r="K19" s="37">
        <v>3</v>
      </c>
      <c r="T19"/>
      <c r="U19"/>
      <c r="V19"/>
      <c r="W19"/>
      <c r="X19"/>
      <c r="Y19"/>
    </row>
    <row r="20" spans="6:25" ht="15.75" thickBot="1">
      <c r="F20" s="28" t="s">
        <v>7</v>
      </c>
      <c r="G20" s="27">
        <v>0.60869565217391297</v>
      </c>
      <c r="H20" s="32">
        <v>46</v>
      </c>
      <c r="I20" s="32">
        <v>34</v>
      </c>
      <c r="J20" s="32">
        <v>6</v>
      </c>
      <c r="K20" s="33">
        <v>6</v>
      </c>
      <c r="T20"/>
      <c r="U20"/>
      <c r="V20"/>
      <c r="W20"/>
      <c r="X20"/>
      <c r="Y20"/>
    </row>
    <row r="21" spans="6:25" ht="15.75" thickBot="1">
      <c r="F21" s="38" t="s">
        <v>9</v>
      </c>
      <c r="G21" s="39">
        <v>0.66666666666666674</v>
      </c>
      <c r="H21" s="34">
        <v>84</v>
      </c>
      <c r="I21" s="34">
        <v>65</v>
      </c>
      <c r="J21" s="34">
        <v>10</v>
      </c>
      <c r="K21" s="35">
        <v>9</v>
      </c>
    </row>
    <row r="22" spans="6:25">
      <c r="F22"/>
      <c r="G22"/>
      <c r="H22"/>
      <c r="I22"/>
      <c r="J22"/>
      <c r="K22"/>
    </row>
    <row r="23" spans="6:25" ht="15.75" thickBot="1">
      <c r="F23"/>
      <c r="G23"/>
      <c r="H23"/>
      <c r="I23"/>
      <c r="J23"/>
      <c r="K23"/>
    </row>
    <row r="24" spans="6:25" ht="15.75" thickBot="1">
      <c r="F24" s="49" t="s">
        <v>12</v>
      </c>
      <c r="G24" s="50"/>
      <c r="H24" s="50"/>
      <c r="I24" s="50"/>
      <c r="J24" s="50"/>
      <c r="K24" s="51"/>
    </row>
    <row r="25" spans="6:25" ht="15.75" thickBot="1">
      <c r="F25" s="6" t="s">
        <v>0</v>
      </c>
      <c r="G25" s="40" t="s">
        <v>1</v>
      </c>
      <c r="H25" s="41" t="s">
        <v>5</v>
      </c>
      <c r="I25" s="41" t="s">
        <v>4</v>
      </c>
      <c r="J25" s="41" t="s">
        <v>3</v>
      </c>
      <c r="K25" s="42" t="s">
        <v>2</v>
      </c>
    </row>
    <row r="26" spans="6:25">
      <c r="F26" s="12" t="s">
        <v>6</v>
      </c>
      <c r="G26" s="10">
        <v>0.66990291262135926</v>
      </c>
      <c r="H26" s="36">
        <v>103</v>
      </c>
      <c r="I26" s="36">
        <v>80</v>
      </c>
      <c r="J26" s="36">
        <v>12</v>
      </c>
      <c r="K26" s="37">
        <v>11</v>
      </c>
    </row>
    <row r="27" spans="6:25" ht="15.75" thickBot="1">
      <c r="F27" s="13" t="s">
        <v>8</v>
      </c>
      <c r="G27" s="11">
        <v>0.78181818181818175</v>
      </c>
      <c r="H27" s="30">
        <v>55</v>
      </c>
      <c r="I27" s="30">
        <v>46</v>
      </c>
      <c r="J27" s="30">
        <v>6</v>
      </c>
      <c r="K27" s="31">
        <v>3</v>
      </c>
    </row>
    <row r="28" spans="6:25" ht="15.75" thickBot="1">
      <c r="F28" s="38" t="s">
        <v>9</v>
      </c>
      <c r="G28" s="43">
        <v>0.70886075949367089</v>
      </c>
      <c r="H28" s="34">
        <v>158</v>
      </c>
      <c r="I28" s="34">
        <v>126</v>
      </c>
      <c r="J28" s="34">
        <v>18</v>
      </c>
      <c r="K28" s="35">
        <v>14</v>
      </c>
    </row>
    <row r="29" spans="6:25">
      <c r="F29"/>
      <c r="G29"/>
      <c r="H29"/>
      <c r="I29"/>
      <c r="J29"/>
      <c r="K29"/>
    </row>
    <row r="34" spans="1:7">
      <c r="A34" s="5" t="s">
        <v>0</v>
      </c>
      <c r="B34" s="4" t="s">
        <v>1</v>
      </c>
      <c r="C34" s="4" t="s">
        <v>5</v>
      </c>
      <c r="D34" s="4" t="s">
        <v>4</v>
      </c>
      <c r="E34" s="4" t="s">
        <v>3</v>
      </c>
      <c r="F34" s="4" t="s">
        <v>2</v>
      </c>
    </row>
    <row r="35" spans="1:7">
      <c r="A35" s="2" t="s">
        <v>26</v>
      </c>
      <c r="B35" s="3">
        <v>0</v>
      </c>
      <c r="C35" s="29">
        <v>5</v>
      </c>
      <c r="D35" s="29">
        <v>2</v>
      </c>
      <c r="E35" s="29">
        <v>1</v>
      </c>
      <c r="F35" s="29">
        <v>2</v>
      </c>
    </row>
    <row r="36" spans="1:7">
      <c r="A36" s="2" t="s">
        <v>30</v>
      </c>
      <c r="B36" s="3">
        <v>0</v>
      </c>
      <c r="C36" s="29">
        <v>3</v>
      </c>
      <c r="D36" s="29">
        <v>1</v>
      </c>
      <c r="E36" s="29">
        <v>1</v>
      </c>
      <c r="F36" s="29">
        <v>1</v>
      </c>
    </row>
    <row r="37" spans="1:7">
      <c r="A37" s="2" t="s">
        <v>13</v>
      </c>
      <c r="B37" s="3">
        <v>0</v>
      </c>
      <c r="C37" s="29">
        <v>2</v>
      </c>
      <c r="D37" s="29">
        <v>1</v>
      </c>
      <c r="E37" s="29"/>
      <c r="F37" s="29">
        <v>1</v>
      </c>
    </row>
    <row r="38" spans="1:7">
      <c r="A38" s="2" t="s">
        <v>37</v>
      </c>
      <c r="B38" s="3"/>
      <c r="C38" s="29">
        <v>1</v>
      </c>
      <c r="D38" s="29"/>
      <c r="E38" s="29">
        <v>1</v>
      </c>
      <c r="F38" s="29"/>
    </row>
    <row r="39" spans="1:7">
      <c r="A39" s="2" t="s">
        <v>99</v>
      </c>
      <c r="B39" s="3">
        <v>0.16666666666666669</v>
      </c>
      <c r="C39" s="29">
        <v>6</v>
      </c>
      <c r="D39" s="29">
        <v>3</v>
      </c>
      <c r="E39" s="29">
        <v>1</v>
      </c>
      <c r="F39" s="29">
        <v>2</v>
      </c>
    </row>
    <row r="40" spans="1:7">
      <c r="A40" s="2" t="s">
        <v>25</v>
      </c>
      <c r="B40" s="3">
        <v>0.2</v>
      </c>
      <c r="C40" s="29">
        <v>5</v>
      </c>
      <c r="D40" s="29">
        <v>2</v>
      </c>
      <c r="E40" s="29">
        <v>2</v>
      </c>
      <c r="F40" s="29">
        <v>1</v>
      </c>
      <c r="G40" s="4"/>
    </row>
    <row r="41" spans="1:7">
      <c r="A41" s="2" t="s">
        <v>34</v>
      </c>
      <c r="B41" s="3">
        <v>0.33333333333333331</v>
      </c>
      <c r="C41" s="29">
        <v>3</v>
      </c>
      <c r="D41" s="29">
        <v>2</v>
      </c>
      <c r="E41" s="29"/>
      <c r="F41" s="29">
        <v>1</v>
      </c>
      <c r="G41" s="4"/>
    </row>
    <row r="42" spans="1:7">
      <c r="A42" s="2" t="s">
        <v>55</v>
      </c>
      <c r="B42" s="3">
        <v>0.33333333333333331</v>
      </c>
      <c r="C42" s="29">
        <v>3</v>
      </c>
      <c r="D42" s="29">
        <v>2</v>
      </c>
      <c r="E42" s="29"/>
      <c r="F42" s="29">
        <v>1</v>
      </c>
      <c r="G42" s="4"/>
    </row>
    <row r="43" spans="1:7">
      <c r="A43" s="2" t="s">
        <v>27</v>
      </c>
      <c r="B43" s="3">
        <v>0.33333333333333337</v>
      </c>
      <c r="C43" s="29">
        <v>6</v>
      </c>
      <c r="D43" s="29">
        <v>3</v>
      </c>
      <c r="E43" s="29">
        <v>2</v>
      </c>
      <c r="F43" s="29">
        <v>1</v>
      </c>
      <c r="G43" s="4"/>
    </row>
    <row r="44" spans="1:7">
      <c r="A44" s="2" t="s">
        <v>100</v>
      </c>
      <c r="B44" s="3">
        <v>0.36363636363636365</v>
      </c>
      <c r="C44" s="29">
        <v>11</v>
      </c>
      <c r="D44" s="29">
        <v>7</v>
      </c>
      <c r="E44" s="29">
        <v>1</v>
      </c>
      <c r="F44" s="29">
        <v>3</v>
      </c>
      <c r="G44" s="4"/>
    </row>
    <row r="45" spans="1:7">
      <c r="A45" s="2" t="s">
        <v>21</v>
      </c>
      <c r="B45" s="3">
        <v>0.4285714285714286</v>
      </c>
      <c r="C45" s="29">
        <v>7</v>
      </c>
      <c r="D45" s="29">
        <v>5</v>
      </c>
      <c r="E45" s="29"/>
      <c r="F45" s="29">
        <v>2</v>
      </c>
      <c r="G45" s="4"/>
    </row>
    <row r="46" spans="1:7">
      <c r="A46" s="2" t="s">
        <v>52</v>
      </c>
      <c r="B46" s="3">
        <v>0.5</v>
      </c>
      <c r="C46" s="29">
        <v>2</v>
      </c>
      <c r="D46" s="29">
        <v>1</v>
      </c>
      <c r="E46" s="29">
        <v>1</v>
      </c>
      <c r="F46" s="29"/>
      <c r="G46" s="4"/>
    </row>
    <row r="47" spans="1:7">
      <c r="A47" s="2" t="s">
        <v>110</v>
      </c>
      <c r="B47" s="3">
        <v>0.5</v>
      </c>
      <c r="C47" s="29">
        <v>4</v>
      </c>
      <c r="D47" s="29">
        <v>3</v>
      </c>
      <c r="E47" s="29"/>
      <c r="F47" s="29">
        <v>1</v>
      </c>
    </row>
    <row r="48" spans="1:7">
      <c r="A48" s="2" t="s">
        <v>68</v>
      </c>
      <c r="B48" s="3">
        <v>0.5</v>
      </c>
      <c r="C48" s="29">
        <v>4</v>
      </c>
      <c r="D48" s="29">
        <v>3</v>
      </c>
      <c r="E48" s="29"/>
      <c r="F48" s="29">
        <v>1</v>
      </c>
    </row>
    <row r="49" spans="1:6">
      <c r="A49" s="2" t="s">
        <v>66</v>
      </c>
      <c r="B49" s="3">
        <v>0.6</v>
      </c>
      <c r="C49" s="29">
        <v>5</v>
      </c>
      <c r="D49" s="29">
        <v>3</v>
      </c>
      <c r="E49" s="29">
        <v>2</v>
      </c>
      <c r="F49" s="29"/>
    </row>
    <row r="50" spans="1:6">
      <c r="A50" s="2" t="s">
        <v>45</v>
      </c>
      <c r="B50" s="3">
        <v>0.6</v>
      </c>
      <c r="C50" s="29">
        <v>10</v>
      </c>
      <c r="D50" s="29">
        <v>7</v>
      </c>
      <c r="E50" s="29">
        <v>2</v>
      </c>
      <c r="F50" s="29">
        <v>1</v>
      </c>
    </row>
    <row r="51" spans="1:6">
      <c r="A51" s="2" t="s">
        <v>50</v>
      </c>
      <c r="B51" s="3">
        <v>0.60000000000000009</v>
      </c>
      <c r="C51" s="29">
        <v>5</v>
      </c>
      <c r="D51" s="29">
        <v>4</v>
      </c>
      <c r="E51" s="29"/>
      <c r="F51" s="29">
        <v>1</v>
      </c>
    </row>
    <row r="52" spans="1:6">
      <c r="A52" s="2" t="s">
        <v>105</v>
      </c>
      <c r="B52" s="3">
        <v>0.60000000000000009</v>
      </c>
      <c r="C52" s="29">
        <v>5</v>
      </c>
      <c r="D52" s="29">
        <v>4</v>
      </c>
      <c r="E52" s="29"/>
      <c r="F52" s="29">
        <v>1</v>
      </c>
    </row>
    <row r="53" spans="1:6">
      <c r="A53" s="2" t="s">
        <v>46</v>
      </c>
      <c r="B53" s="3">
        <v>0.625</v>
      </c>
      <c r="C53" s="29">
        <v>8</v>
      </c>
      <c r="D53" s="29">
        <v>6</v>
      </c>
      <c r="E53" s="29">
        <v>1</v>
      </c>
      <c r="F53" s="29">
        <v>1</v>
      </c>
    </row>
    <row r="54" spans="1:6">
      <c r="A54" s="2" t="s">
        <v>38</v>
      </c>
      <c r="B54" s="3">
        <v>0.66666666666666663</v>
      </c>
      <c r="C54" s="29">
        <v>3</v>
      </c>
      <c r="D54" s="29">
        <v>2</v>
      </c>
      <c r="E54" s="29">
        <v>1</v>
      </c>
      <c r="F54" s="29"/>
    </row>
    <row r="55" spans="1:6">
      <c r="A55" s="2" t="s">
        <v>24</v>
      </c>
      <c r="B55" s="3">
        <v>0.71428571428571419</v>
      </c>
      <c r="C55" s="29">
        <v>7</v>
      </c>
      <c r="D55" s="29">
        <v>6</v>
      </c>
      <c r="E55" s="29"/>
      <c r="F55" s="29">
        <v>1</v>
      </c>
    </row>
    <row r="56" spans="1:6">
      <c r="A56" s="2" t="s">
        <v>64</v>
      </c>
      <c r="B56" s="3">
        <v>0.75</v>
      </c>
      <c r="C56" s="29">
        <v>8</v>
      </c>
      <c r="D56" s="29">
        <v>7</v>
      </c>
      <c r="E56" s="29"/>
      <c r="F56" s="29">
        <v>1</v>
      </c>
    </row>
    <row r="57" spans="1:6">
      <c r="A57" s="2" t="s">
        <v>41</v>
      </c>
      <c r="B57" s="3">
        <v>0.75</v>
      </c>
      <c r="C57" s="29">
        <v>4</v>
      </c>
      <c r="D57" s="29">
        <v>3</v>
      </c>
      <c r="E57" s="29">
        <v>1</v>
      </c>
      <c r="F57" s="29"/>
    </row>
    <row r="58" spans="1:6">
      <c r="A58" s="2" t="s">
        <v>40</v>
      </c>
      <c r="B58" s="3">
        <v>0.75</v>
      </c>
      <c r="C58" s="29">
        <v>4</v>
      </c>
      <c r="D58" s="29">
        <v>3</v>
      </c>
      <c r="E58" s="29">
        <v>1</v>
      </c>
      <c r="F58" s="29"/>
    </row>
    <row r="59" spans="1:6">
      <c r="A59" s="2" t="s">
        <v>58</v>
      </c>
      <c r="B59" s="3">
        <v>0.75</v>
      </c>
      <c r="C59" s="29">
        <v>8</v>
      </c>
      <c r="D59" s="29">
        <v>6</v>
      </c>
      <c r="E59" s="29">
        <v>2</v>
      </c>
      <c r="F59" s="29"/>
    </row>
    <row r="60" spans="1:6">
      <c r="A60" s="2" t="s">
        <v>39</v>
      </c>
      <c r="B60" s="3">
        <v>0.77777777777777779</v>
      </c>
      <c r="C60" s="29">
        <v>9</v>
      </c>
      <c r="D60" s="29">
        <v>7</v>
      </c>
      <c r="E60" s="29">
        <v>2</v>
      </c>
      <c r="F60" s="29"/>
    </row>
    <row r="61" spans="1:6">
      <c r="A61" s="2" t="s">
        <v>18</v>
      </c>
      <c r="B61" s="3">
        <v>0.8</v>
      </c>
      <c r="C61" s="29">
        <v>5</v>
      </c>
      <c r="D61" s="29">
        <v>4</v>
      </c>
      <c r="E61" s="29">
        <v>1</v>
      </c>
      <c r="F61" s="29"/>
    </row>
    <row r="62" spans="1:6">
      <c r="A62" s="2" t="s">
        <v>53</v>
      </c>
      <c r="B62" s="3">
        <v>0.8</v>
      </c>
      <c r="C62" s="29">
        <v>5</v>
      </c>
      <c r="D62" s="29">
        <v>4</v>
      </c>
      <c r="E62" s="29">
        <v>1</v>
      </c>
      <c r="F62" s="29"/>
    </row>
    <row r="63" spans="1:6">
      <c r="A63" s="2" t="s">
        <v>43</v>
      </c>
      <c r="B63" s="3">
        <v>0.83333333333333337</v>
      </c>
      <c r="C63" s="29">
        <v>6</v>
      </c>
      <c r="D63" s="29">
        <v>5</v>
      </c>
      <c r="E63" s="29">
        <v>1</v>
      </c>
      <c r="F63" s="29"/>
    </row>
    <row r="64" spans="1:6">
      <c r="A64" s="2" t="s">
        <v>61</v>
      </c>
      <c r="B64" s="3">
        <v>0.8571428571428571</v>
      </c>
      <c r="C64" s="29">
        <v>7</v>
      </c>
      <c r="D64" s="29">
        <v>6</v>
      </c>
      <c r="E64" s="29">
        <v>1</v>
      </c>
      <c r="F64" s="29"/>
    </row>
    <row r="65" spans="1:6">
      <c r="A65" s="2" t="s">
        <v>32</v>
      </c>
      <c r="B65" s="3">
        <v>0.875</v>
      </c>
      <c r="C65" s="29">
        <v>8</v>
      </c>
      <c r="D65" s="29">
        <v>7</v>
      </c>
      <c r="E65" s="29">
        <v>1</v>
      </c>
      <c r="F65" s="29"/>
    </row>
    <row r="66" spans="1:6">
      <c r="A66" s="2" t="s">
        <v>33</v>
      </c>
      <c r="B66" s="3">
        <v>0.88888888888888884</v>
      </c>
      <c r="C66" s="29">
        <v>9</v>
      </c>
      <c r="D66" s="29">
        <v>8</v>
      </c>
      <c r="E66" s="29">
        <v>1</v>
      </c>
      <c r="F66" s="29"/>
    </row>
    <row r="67" spans="1:6">
      <c r="A67" s="2" t="s">
        <v>44</v>
      </c>
      <c r="B67" s="3">
        <v>1</v>
      </c>
      <c r="C67" s="29">
        <v>2</v>
      </c>
      <c r="D67" s="29">
        <v>2</v>
      </c>
      <c r="E67" s="29"/>
      <c r="F67" s="29"/>
    </row>
    <row r="68" spans="1:6">
      <c r="A68" s="2" t="s">
        <v>54</v>
      </c>
      <c r="B68" s="3">
        <v>1</v>
      </c>
      <c r="C68" s="29">
        <v>2</v>
      </c>
      <c r="D68" s="29">
        <v>2</v>
      </c>
      <c r="E68" s="29"/>
      <c r="F68" s="29"/>
    </row>
    <row r="69" spans="1:6">
      <c r="A69" s="2" t="s">
        <v>102</v>
      </c>
      <c r="B69" s="3">
        <v>1</v>
      </c>
      <c r="C69" s="29">
        <v>3</v>
      </c>
      <c r="D69" s="29">
        <v>3</v>
      </c>
      <c r="E69" s="29"/>
      <c r="F69" s="29"/>
    </row>
    <row r="70" spans="1:6">
      <c r="A70" s="2" t="s">
        <v>20</v>
      </c>
      <c r="B70" s="3">
        <v>1</v>
      </c>
      <c r="C70" s="29">
        <v>6</v>
      </c>
      <c r="D70" s="29">
        <v>6</v>
      </c>
      <c r="E70" s="29"/>
      <c r="F70" s="29"/>
    </row>
    <row r="71" spans="1:6">
      <c r="A71" s="2" t="s">
        <v>35</v>
      </c>
      <c r="B71" s="3">
        <v>1</v>
      </c>
      <c r="C71" s="29">
        <v>4</v>
      </c>
      <c r="D71" s="29">
        <v>4</v>
      </c>
      <c r="E71" s="29"/>
      <c r="F71" s="29"/>
    </row>
    <row r="72" spans="1:6">
      <c r="A72" s="2" t="s">
        <v>114</v>
      </c>
      <c r="B72" s="3">
        <v>1</v>
      </c>
      <c r="C72" s="29">
        <v>1</v>
      </c>
      <c r="D72" s="29">
        <v>1</v>
      </c>
      <c r="E72" s="29"/>
      <c r="F72" s="29"/>
    </row>
    <row r="73" spans="1:6">
      <c r="A73" s="2" t="s">
        <v>31</v>
      </c>
      <c r="B73" s="3">
        <v>1</v>
      </c>
      <c r="C73" s="29">
        <v>4</v>
      </c>
      <c r="D73" s="29">
        <v>4</v>
      </c>
      <c r="E73" s="29"/>
      <c r="F73" s="29"/>
    </row>
    <row r="74" spans="1:6">
      <c r="A74" s="2" t="s">
        <v>22</v>
      </c>
      <c r="B74" s="3">
        <v>1</v>
      </c>
      <c r="C74" s="29">
        <v>3</v>
      </c>
      <c r="D74" s="29">
        <v>3</v>
      </c>
      <c r="E74" s="29"/>
      <c r="F74" s="29"/>
    </row>
    <row r="75" spans="1:6">
      <c r="A75" s="2" t="s">
        <v>101</v>
      </c>
      <c r="B75" s="3">
        <v>1</v>
      </c>
      <c r="C75" s="29">
        <v>3</v>
      </c>
      <c r="D75" s="29">
        <v>3</v>
      </c>
      <c r="E75" s="29"/>
      <c r="F75" s="29"/>
    </row>
    <row r="76" spans="1:6">
      <c r="A76" s="2" t="s">
        <v>60</v>
      </c>
      <c r="B76" s="3">
        <v>1</v>
      </c>
      <c r="C76" s="29">
        <v>4</v>
      </c>
      <c r="D76" s="29">
        <v>4</v>
      </c>
      <c r="E76" s="29"/>
      <c r="F76" s="29"/>
    </row>
    <row r="77" spans="1:6">
      <c r="A77" s="2" t="s">
        <v>57</v>
      </c>
      <c r="B77" s="3">
        <v>1</v>
      </c>
      <c r="C77" s="29">
        <v>3</v>
      </c>
      <c r="D77" s="29">
        <v>3</v>
      </c>
      <c r="E77" s="29"/>
      <c r="F77" s="29"/>
    </row>
    <row r="78" spans="1:6">
      <c r="A78" s="2" t="s">
        <v>23</v>
      </c>
      <c r="B78" s="3">
        <v>1</v>
      </c>
      <c r="C78" s="29">
        <v>2</v>
      </c>
      <c r="D78" s="29">
        <v>2</v>
      </c>
      <c r="E78" s="29"/>
      <c r="F78" s="29"/>
    </row>
    <row r="79" spans="1:6">
      <c r="A79" s="2" t="s">
        <v>28</v>
      </c>
      <c r="B79" s="3">
        <v>1</v>
      </c>
      <c r="C79" s="29">
        <v>1</v>
      </c>
      <c r="D79" s="29">
        <v>1</v>
      </c>
      <c r="E79" s="29"/>
      <c r="F79" s="29"/>
    </row>
    <row r="80" spans="1:6">
      <c r="A80" s="2" t="s">
        <v>15</v>
      </c>
      <c r="B80" s="3">
        <v>1</v>
      </c>
      <c r="C80" s="29">
        <v>2</v>
      </c>
      <c r="D80" s="29">
        <v>2</v>
      </c>
      <c r="E80" s="29"/>
      <c r="F80" s="29"/>
    </row>
    <row r="81" spans="1:34">
      <c r="A81" s="2" t="s">
        <v>16</v>
      </c>
      <c r="B81" s="3">
        <v>1</v>
      </c>
      <c r="C81" s="29">
        <v>1</v>
      </c>
      <c r="D81" s="29">
        <v>1</v>
      </c>
      <c r="E81" s="29"/>
      <c r="F81" s="29"/>
    </row>
    <row r="82" spans="1:34">
      <c r="A82" s="2" t="s">
        <v>104</v>
      </c>
      <c r="B82" s="3">
        <v>1</v>
      </c>
      <c r="C82" s="29">
        <v>3</v>
      </c>
      <c r="D82" s="29">
        <v>3</v>
      </c>
      <c r="E82" s="29"/>
      <c r="F82" s="29"/>
    </row>
    <row r="83" spans="1:34">
      <c r="A83" s="2" t="s">
        <v>113</v>
      </c>
      <c r="B83" s="3">
        <v>1</v>
      </c>
      <c r="C83" s="29">
        <v>2</v>
      </c>
      <c r="D83" s="29">
        <v>2</v>
      </c>
      <c r="E83" s="29"/>
      <c r="F83" s="29"/>
    </row>
    <row r="84" spans="1:34">
      <c r="A84" s="2" t="s">
        <v>29</v>
      </c>
      <c r="B84" s="3">
        <v>1</v>
      </c>
      <c r="C84" s="29">
        <v>2</v>
      </c>
      <c r="D84" s="29">
        <v>2</v>
      </c>
      <c r="E84" s="29"/>
      <c r="F84" s="29"/>
    </row>
    <row r="85" spans="1:34">
      <c r="A85" s="2" t="s">
        <v>47</v>
      </c>
      <c r="B85" s="3">
        <v>1</v>
      </c>
      <c r="C85" s="29">
        <v>4</v>
      </c>
      <c r="D85" s="29">
        <v>4</v>
      </c>
      <c r="E85" s="29"/>
      <c r="F85" s="29"/>
    </row>
    <row r="86" spans="1:34">
      <c r="A86" s="2" t="s">
        <v>65</v>
      </c>
      <c r="B86" s="3">
        <v>1</v>
      </c>
      <c r="C86" s="29">
        <v>5</v>
      </c>
      <c r="D86" s="29">
        <v>5</v>
      </c>
      <c r="E86" s="29"/>
      <c r="F86" s="29"/>
    </row>
    <row r="87" spans="1:34">
      <c r="A87" s="2" t="s">
        <v>106</v>
      </c>
      <c r="B87" s="3">
        <v>1</v>
      </c>
      <c r="C87" s="29">
        <v>2</v>
      </c>
      <c r="D87" s="29">
        <v>2</v>
      </c>
      <c r="E87" s="29"/>
      <c r="F87" s="29"/>
    </row>
    <row r="88" spans="1:34">
      <c r="A88" s="2" t="s">
        <v>112</v>
      </c>
      <c r="B88" s="3">
        <v>1</v>
      </c>
      <c r="C88" s="29">
        <v>5</v>
      </c>
      <c r="D88" s="29">
        <v>5</v>
      </c>
      <c r="E88" s="29"/>
      <c r="F88" s="29"/>
    </row>
    <row r="89" spans="1:34">
      <c r="A89" s="2" t="s">
        <v>9</v>
      </c>
      <c r="B89" s="3">
        <v>0.69421487603305787</v>
      </c>
      <c r="C89" s="29">
        <v>242</v>
      </c>
      <c r="D89" s="29">
        <v>191</v>
      </c>
      <c r="E89" s="29">
        <v>28</v>
      </c>
      <c r="F89" s="29">
        <v>23</v>
      </c>
    </row>
    <row r="90" spans="1:34">
      <c r="A90"/>
      <c r="B90"/>
      <c r="C90"/>
      <c r="D90"/>
      <c r="E90"/>
      <c r="F90"/>
    </row>
    <row r="91" spans="1:34">
      <c r="A91" s="45" t="s">
        <v>108</v>
      </c>
      <c r="B91" s="45" t="s" vm="1">
        <v>109</v>
      </c>
      <c r="C91"/>
      <c r="D91"/>
      <c r="E91"/>
      <c r="F91"/>
    </row>
    <row r="92" spans="1:34">
      <c r="A92"/>
      <c r="B92"/>
      <c r="C92"/>
      <c r="D92"/>
      <c r="E92"/>
      <c r="F92"/>
    </row>
    <row r="93" spans="1:34">
      <c r="A93" s="46" t="s">
        <v>0</v>
      </c>
      <c r="B93" s="45" t="s">
        <v>1</v>
      </c>
      <c r="C93" s="45" t="s">
        <v>3</v>
      </c>
      <c r="D93" s="4" t="s">
        <v>2</v>
      </c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</row>
    <row r="94" spans="1:34">
      <c r="A94" s="2" t="s">
        <v>26</v>
      </c>
      <c r="B94" s="29"/>
      <c r="C94" s="29"/>
      <c r="D94" s="29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</row>
    <row r="95" spans="1:34">
      <c r="A95" s="52" t="s">
        <v>116</v>
      </c>
      <c r="B95" s="3"/>
      <c r="C95" s="29">
        <v>1</v>
      </c>
      <c r="D95" s="29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</row>
    <row r="96" spans="1:34">
      <c r="A96" s="52" t="s">
        <v>120</v>
      </c>
      <c r="B96" s="3">
        <v>1</v>
      </c>
      <c r="C96" s="29"/>
      <c r="D96" s="29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1:300">
      <c r="A97" s="52" t="s">
        <v>117</v>
      </c>
      <c r="B97" s="29"/>
      <c r="C97" s="29"/>
      <c r="D97" s="29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</row>
    <row r="98" spans="1:300">
      <c r="A98" s="53" t="s">
        <v>126</v>
      </c>
      <c r="B98" s="3">
        <v>-1</v>
      </c>
      <c r="C98" s="29"/>
      <c r="D98" s="29">
        <v>1</v>
      </c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</row>
    <row r="99" spans="1:300">
      <c r="A99" s="52" t="s">
        <v>118</v>
      </c>
      <c r="B99" s="29"/>
      <c r="C99" s="29"/>
      <c r="D99" s="2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</row>
    <row r="100" spans="1:300">
      <c r="A100" s="53" t="s">
        <v>127</v>
      </c>
      <c r="B100" s="3">
        <v>-1</v>
      </c>
      <c r="C100" s="29"/>
      <c r="D100" s="29">
        <v>1</v>
      </c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</row>
    <row r="101" spans="1:300">
      <c r="A101" s="52" t="s">
        <v>119</v>
      </c>
      <c r="B101" s="3">
        <v>1</v>
      </c>
      <c r="C101" s="29"/>
      <c r="D101" s="29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1:300">
      <c r="A102" s="2" t="s">
        <v>30</v>
      </c>
      <c r="B102" s="29"/>
      <c r="C102" s="29"/>
      <c r="D102" s="29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</row>
    <row r="103" spans="1:300">
      <c r="A103" s="52" t="s">
        <v>121</v>
      </c>
      <c r="B103" s="29"/>
      <c r="C103" s="29"/>
      <c r="D103" s="29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</row>
    <row r="104" spans="1:300">
      <c r="A104" s="53" t="s">
        <v>128</v>
      </c>
      <c r="B104" s="3">
        <v>-1</v>
      </c>
      <c r="C104" s="29"/>
      <c r="D104" s="29">
        <v>1</v>
      </c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</row>
    <row r="105" spans="1:300">
      <c r="A105" s="52" t="s">
        <v>122</v>
      </c>
      <c r="B105" s="3">
        <v>1</v>
      </c>
      <c r="C105" s="29"/>
      <c r="D105" s="29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</row>
    <row r="106" spans="1:300">
      <c r="A106" s="52" t="s">
        <v>123</v>
      </c>
      <c r="B106" s="3"/>
      <c r="C106" s="29">
        <v>1</v>
      </c>
      <c r="D106" s="29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</row>
    <row r="107" spans="1:300">
      <c r="A107" s="2" t="s">
        <v>13</v>
      </c>
      <c r="B107" s="29"/>
      <c r="C107" s="29"/>
      <c r="D107" s="29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</row>
    <row r="108" spans="1:300">
      <c r="A108" s="52" t="s">
        <v>124</v>
      </c>
      <c r="B108" s="3">
        <v>1</v>
      </c>
      <c r="C108" s="29"/>
      <c r="D108" s="29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</row>
    <row r="109" spans="1:300">
      <c r="A109" s="52" t="s">
        <v>125</v>
      </c>
      <c r="B109" s="29"/>
      <c r="C109" s="29"/>
      <c r="D109" s="2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</row>
    <row r="110" spans="1:300">
      <c r="A110" s="53" t="s">
        <v>129</v>
      </c>
      <c r="B110" s="3">
        <v>-1</v>
      </c>
      <c r="C110" s="29"/>
      <c r="D110" s="29">
        <v>1</v>
      </c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</row>
    <row r="111" spans="1:300">
      <c r="A111" s="2" t="s">
        <v>37</v>
      </c>
      <c r="B111" s="3"/>
      <c r="C111" s="29">
        <v>1</v>
      </c>
      <c r="D111" s="29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</row>
    <row r="112" spans="1:300">
      <c r="A112" s="2" t="s">
        <v>99</v>
      </c>
      <c r="B112" s="3">
        <v>0.16666666666666669</v>
      </c>
      <c r="C112" s="29">
        <v>1</v>
      </c>
      <c r="D112" s="29">
        <v>2</v>
      </c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</row>
    <row r="113" spans="1:300">
      <c r="A113" s="2" t="s">
        <v>25</v>
      </c>
      <c r="B113" s="3">
        <v>0.2</v>
      </c>
      <c r="C113" s="29">
        <v>2</v>
      </c>
      <c r="D113" s="29">
        <v>1</v>
      </c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</row>
    <row r="114" spans="1:300">
      <c r="A114" s="2" t="s">
        <v>34</v>
      </c>
      <c r="B114" s="3">
        <v>0.33333333333333331</v>
      </c>
      <c r="C114" s="29"/>
      <c r="D114" s="29">
        <v>1</v>
      </c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</row>
    <row r="115" spans="1:300">
      <c r="A115" s="2" t="s">
        <v>55</v>
      </c>
      <c r="B115" s="3">
        <v>0.33333333333333331</v>
      </c>
      <c r="C115" s="29"/>
      <c r="D115" s="29">
        <v>1</v>
      </c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</row>
    <row r="116" spans="1:300">
      <c r="A116" s="2" t="s">
        <v>27</v>
      </c>
      <c r="B116" s="3">
        <v>0.33333333333333337</v>
      </c>
      <c r="C116" s="29">
        <v>2</v>
      </c>
      <c r="D116" s="29">
        <v>1</v>
      </c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</row>
    <row r="117" spans="1:300">
      <c r="A117" s="2" t="s">
        <v>100</v>
      </c>
      <c r="B117" s="3">
        <v>0.36363636363636365</v>
      </c>
      <c r="C117" s="29">
        <v>1</v>
      </c>
      <c r="D117" s="29">
        <v>3</v>
      </c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</row>
    <row r="118" spans="1:300">
      <c r="A118" s="2" t="s">
        <v>21</v>
      </c>
      <c r="B118" s="3">
        <v>0.4285714285714286</v>
      </c>
      <c r="C118" s="29"/>
      <c r="D118" s="29">
        <v>2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</row>
    <row r="119" spans="1:300">
      <c r="A119" s="2" t="s">
        <v>52</v>
      </c>
      <c r="B119" s="3">
        <v>0.5</v>
      </c>
      <c r="C119" s="29">
        <v>1</v>
      </c>
      <c r="D119" s="2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</row>
    <row r="120" spans="1:300">
      <c r="A120" s="2" t="s">
        <v>110</v>
      </c>
      <c r="B120" s="3">
        <v>0.5</v>
      </c>
      <c r="C120" s="29"/>
      <c r="D120" s="29">
        <v>1</v>
      </c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</row>
    <row r="121" spans="1:300">
      <c r="A121" s="2" t="s">
        <v>68</v>
      </c>
      <c r="B121" s="3">
        <v>0.5</v>
      </c>
      <c r="C121" s="29"/>
      <c r="D121" s="29">
        <v>1</v>
      </c>
      <c r="E121"/>
      <c r="F121"/>
    </row>
    <row r="122" spans="1:300">
      <c r="A122" s="2" t="s">
        <v>66</v>
      </c>
      <c r="B122" s="3">
        <v>0.6</v>
      </c>
      <c r="C122" s="29">
        <v>2</v>
      </c>
      <c r="D122" s="29"/>
      <c r="E122"/>
      <c r="F122"/>
    </row>
    <row r="123" spans="1:300">
      <c r="A123" s="2" t="s">
        <v>45</v>
      </c>
      <c r="B123" s="3">
        <v>0.6</v>
      </c>
      <c r="C123" s="29">
        <v>2</v>
      </c>
      <c r="D123" s="29">
        <v>1</v>
      </c>
      <c r="E123"/>
      <c r="F123"/>
    </row>
    <row r="124" spans="1:300">
      <c r="A124" s="2" t="s">
        <v>50</v>
      </c>
      <c r="B124" s="3">
        <v>0.60000000000000009</v>
      </c>
      <c r="C124" s="29"/>
      <c r="D124" s="29">
        <v>1</v>
      </c>
      <c r="E124"/>
      <c r="F124"/>
    </row>
    <row r="125" spans="1:300">
      <c r="A125" s="2" t="s">
        <v>105</v>
      </c>
      <c r="B125" s="3">
        <v>0.60000000000000009</v>
      </c>
      <c r="C125" s="29"/>
      <c r="D125" s="29">
        <v>1</v>
      </c>
      <c r="E125"/>
      <c r="F125"/>
    </row>
    <row r="126" spans="1:300">
      <c r="A126" s="2" t="s">
        <v>46</v>
      </c>
      <c r="B126" s="3">
        <v>0.625</v>
      </c>
      <c r="C126" s="29">
        <v>1</v>
      </c>
      <c r="D126" s="29">
        <v>1</v>
      </c>
      <c r="E126"/>
      <c r="F126"/>
    </row>
    <row r="127" spans="1:300">
      <c r="A127" s="2" t="s">
        <v>38</v>
      </c>
      <c r="B127" s="3">
        <v>0.66666666666666663</v>
      </c>
      <c r="C127" s="29">
        <v>1</v>
      </c>
      <c r="D127" s="29"/>
      <c r="E127"/>
      <c r="F127"/>
    </row>
    <row r="128" spans="1:300">
      <c r="A128" s="2" t="s">
        <v>24</v>
      </c>
      <c r="B128" s="3">
        <v>0.71428571428571419</v>
      </c>
      <c r="C128" s="29"/>
      <c r="D128" s="29">
        <v>1</v>
      </c>
      <c r="E128"/>
      <c r="F128"/>
    </row>
    <row r="129" spans="1:6">
      <c r="A129" s="2" t="s">
        <v>64</v>
      </c>
      <c r="B129" s="3">
        <v>0.75</v>
      </c>
      <c r="C129" s="29"/>
      <c r="D129" s="29">
        <v>1</v>
      </c>
      <c r="E129"/>
      <c r="F129"/>
    </row>
    <row r="130" spans="1:6">
      <c r="A130" s="2" t="s">
        <v>41</v>
      </c>
      <c r="B130" s="3">
        <v>0.75</v>
      </c>
      <c r="C130" s="29">
        <v>1</v>
      </c>
      <c r="D130" s="29"/>
      <c r="E130"/>
      <c r="F130"/>
    </row>
    <row r="131" spans="1:6">
      <c r="A131" s="2" t="s">
        <v>40</v>
      </c>
      <c r="B131" s="3">
        <v>0.75</v>
      </c>
      <c r="C131" s="29">
        <v>1</v>
      </c>
      <c r="D131" s="29"/>
      <c r="E131"/>
      <c r="F131"/>
    </row>
    <row r="132" spans="1:6">
      <c r="A132" s="2" t="s">
        <v>58</v>
      </c>
      <c r="B132" s="3">
        <v>0.75</v>
      </c>
      <c r="C132" s="29">
        <v>2</v>
      </c>
      <c r="D132" s="29"/>
      <c r="E132"/>
      <c r="F132"/>
    </row>
    <row r="133" spans="1:6">
      <c r="A133" s="2" t="s">
        <v>39</v>
      </c>
      <c r="B133" s="3">
        <v>0.77777777777777779</v>
      </c>
      <c r="C133" s="29">
        <v>2</v>
      </c>
      <c r="D133" s="29"/>
      <c r="E133"/>
      <c r="F133"/>
    </row>
    <row r="134" spans="1:6">
      <c r="A134" s="2" t="s">
        <v>18</v>
      </c>
      <c r="B134" s="3">
        <v>0.8</v>
      </c>
      <c r="C134" s="29">
        <v>1</v>
      </c>
      <c r="D134" s="29"/>
      <c r="E134"/>
      <c r="F134"/>
    </row>
    <row r="135" spans="1:6">
      <c r="A135" s="2" t="s">
        <v>53</v>
      </c>
      <c r="B135" s="3">
        <v>0.8</v>
      </c>
      <c r="C135" s="29">
        <v>1</v>
      </c>
      <c r="D135" s="29"/>
      <c r="E135"/>
      <c r="F135"/>
    </row>
    <row r="136" spans="1:6">
      <c r="A136" s="2" t="s">
        <v>43</v>
      </c>
      <c r="B136" s="3">
        <v>0.83333333333333337</v>
      </c>
      <c r="C136" s="29">
        <v>1</v>
      </c>
      <c r="D136" s="29"/>
      <c r="E136"/>
      <c r="F136"/>
    </row>
    <row r="137" spans="1:6">
      <c r="A137" s="2" t="s">
        <v>61</v>
      </c>
      <c r="B137" s="3">
        <v>0.8571428571428571</v>
      </c>
      <c r="C137" s="29">
        <v>1</v>
      </c>
      <c r="D137" s="29"/>
      <c r="E137"/>
      <c r="F137"/>
    </row>
    <row r="138" spans="1:6">
      <c r="A138" s="2" t="s">
        <v>32</v>
      </c>
      <c r="B138" s="3">
        <v>0.875</v>
      </c>
      <c r="C138" s="29">
        <v>1</v>
      </c>
      <c r="D138" s="29"/>
      <c r="E138"/>
      <c r="F138"/>
    </row>
    <row r="139" spans="1:6">
      <c r="A139" s="2" t="s">
        <v>33</v>
      </c>
      <c r="B139" s="3">
        <v>0.88888888888888884</v>
      </c>
      <c r="C139" s="29">
        <v>1</v>
      </c>
      <c r="D139" s="29"/>
      <c r="E139"/>
      <c r="F139"/>
    </row>
    <row r="140" spans="1:6">
      <c r="A140" s="2" t="s">
        <v>44</v>
      </c>
      <c r="B140" s="3">
        <v>1</v>
      </c>
      <c r="C140" s="29"/>
      <c r="D140" s="29"/>
      <c r="E140"/>
      <c r="F140"/>
    </row>
    <row r="141" spans="1:6">
      <c r="A141" s="2" t="s">
        <v>54</v>
      </c>
      <c r="B141" s="3">
        <v>1</v>
      </c>
      <c r="C141" s="29"/>
      <c r="D141" s="29"/>
      <c r="E141"/>
      <c r="F141"/>
    </row>
    <row r="142" spans="1:6">
      <c r="A142" s="2" t="s">
        <v>102</v>
      </c>
      <c r="B142" s="3">
        <v>1</v>
      </c>
      <c r="C142" s="29"/>
      <c r="D142" s="29"/>
      <c r="E142"/>
      <c r="F142"/>
    </row>
    <row r="143" spans="1:6">
      <c r="A143" s="2" t="s">
        <v>20</v>
      </c>
      <c r="B143" s="3">
        <v>1</v>
      </c>
      <c r="C143" s="29"/>
      <c r="D143" s="29"/>
      <c r="E143"/>
      <c r="F143"/>
    </row>
    <row r="144" spans="1:6">
      <c r="A144" s="2" t="s">
        <v>35</v>
      </c>
      <c r="B144" s="3">
        <v>1</v>
      </c>
      <c r="C144" s="29"/>
      <c r="D144" s="29"/>
      <c r="E144"/>
      <c r="F144"/>
    </row>
    <row r="145" spans="1:6">
      <c r="A145" s="2" t="s">
        <v>114</v>
      </c>
      <c r="B145" s="3">
        <v>1</v>
      </c>
      <c r="C145" s="29"/>
      <c r="D145" s="29"/>
      <c r="E145"/>
      <c r="F145"/>
    </row>
    <row r="146" spans="1:6">
      <c r="A146" s="2" t="s">
        <v>31</v>
      </c>
      <c r="B146" s="3">
        <v>1</v>
      </c>
      <c r="C146" s="29"/>
      <c r="D146" s="29"/>
      <c r="E146"/>
      <c r="F146"/>
    </row>
    <row r="147" spans="1:6">
      <c r="A147" s="2" t="s">
        <v>22</v>
      </c>
      <c r="B147" s="3">
        <v>1</v>
      </c>
      <c r="C147" s="29"/>
      <c r="D147" s="29"/>
      <c r="E147"/>
      <c r="F147"/>
    </row>
    <row r="148" spans="1:6">
      <c r="A148" s="2" t="s">
        <v>101</v>
      </c>
      <c r="B148" s="3">
        <v>1</v>
      </c>
      <c r="C148" s="29"/>
      <c r="D148" s="29"/>
      <c r="E148"/>
      <c r="F148"/>
    </row>
    <row r="149" spans="1:6">
      <c r="A149" s="2" t="s">
        <v>60</v>
      </c>
      <c r="B149" s="3">
        <v>1</v>
      </c>
      <c r="C149" s="29"/>
      <c r="D149" s="29"/>
      <c r="E149"/>
      <c r="F149"/>
    </row>
    <row r="150" spans="1:6">
      <c r="A150" s="2" t="s">
        <v>57</v>
      </c>
      <c r="B150" s="3">
        <v>1</v>
      </c>
      <c r="C150" s="29"/>
      <c r="D150" s="29"/>
      <c r="E150"/>
      <c r="F150"/>
    </row>
    <row r="151" spans="1:6">
      <c r="A151" s="2" t="s">
        <v>23</v>
      </c>
      <c r="B151" s="3">
        <v>1</v>
      </c>
      <c r="C151" s="29"/>
      <c r="D151" s="29"/>
      <c r="E151"/>
      <c r="F151"/>
    </row>
    <row r="152" spans="1:6">
      <c r="A152" s="2" t="s">
        <v>28</v>
      </c>
      <c r="B152" s="3">
        <v>1</v>
      </c>
      <c r="C152" s="29"/>
      <c r="D152" s="29"/>
      <c r="E152"/>
      <c r="F152"/>
    </row>
    <row r="153" spans="1:6">
      <c r="A153" s="2" t="s">
        <v>15</v>
      </c>
      <c r="B153" s="3">
        <v>1</v>
      </c>
      <c r="C153" s="29"/>
      <c r="D153" s="29"/>
      <c r="E153"/>
      <c r="F153"/>
    </row>
    <row r="154" spans="1:6">
      <c r="A154" s="2" t="s">
        <v>16</v>
      </c>
      <c r="B154" s="3">
        <v>1</v>
      </c>
      <c r="C154" s="29"/>
      <c r="D154" s="29"/>
      <c r="E154"/>
      <c r="F154"/>
    </row>
    <row r="155" spans="1:6">
      <c r="A155" s="2" t="s">
        <v>104</v>
      </c>
      <c r="B155" s="3">
        <v>1</v>
      </c>
      <c r="C155" s="29"/>
      <c r="D155" s="29"/>
      <c r="E155"/>
      <c r="F155"/>
    </row>
    <row r="156" spans="1:6">
      <c r="A156" s="2" t="s">
        <v>113</v>
      </c>
      <c r="B156" s="3">
        <v>1</v>
      </c>
      <c r="C156" s="29"/>
      <c r="D156" s="29"/>
      <c r="E156"/>
      <c r="F156"/>
    </row>
    <row r="157" spans="1:6">
      <c r="A157" s="2" t="s">
        <v>29</v>
      </c>
      <c r="B157" s="3">
        <v>1</v>
      </c>
      <c r="C157" s="29"/>
      <c r="D157" s="29"/>
      <c r="E157"/>
      <c r="F157"/>
    </row>
    <row r="158" spans="1:6">
      <c r="A158" s="2" t="s">
        <v>47</v>
      </c>
      <c r="B158" s="3">
        <v>1</v>
      </c>
      <c r="C158" s="29"/>
      <c r="D158" s="29"/>
      <c r="E158"/>
      <c r="F158"/>
    </row>
    <row r="159" spans="1:6">
      <c r="A159" s="2" t="s">
        <v>65</v>
      </c>
      <c r="B159" s="3">
        <v>1</v>
      </c>
      <c r="C159" s="29"/>
      <c r="D159" s="29"/>
      <c r="E159"/>
      <c r="F159"/>
    </row>
    <row r="160" spans="1:6">
      <c r="A160" s="2" t="s">
        <v>106</v>
      </c>
      <c r="B160" s="3">
        <v>1</v>
      </c>
      <c r="C160" s="29"/>
      <c r="D160" s="29"/>
      <c r="E160"/>
      <c r="F160"/>
    </row>
    <row r="161" spans="1:6">
      <c r="A161" s="2" t="s">
        <v>112</v>
      </c>
      <c r="B161" s="3">
        <v>1</v>
      </c>
      <c r="C161" s="29"/>
      <c r="D161" s="29"/>
      <c r="E161"/>
      <c r="F161"/>
    </row>
    <row r="162" spans="1:6">
      <c r="A162" s="2" t="s">
        <v>9</v>
      </c>
      <c r="B162" s="3">
        <v>0.69421487603305787</v>
      </c>
      <c r="C162" s="29">
        <v>28</v>
      </c>
      <c r="D162" s="29">
        <v>23</v>
      </c>
      <c r="E162"/>
      <c r="F162"/>
    </row>
    <row r="163" spans="1:6">
      <c r="A163"/>
      <c r="B163"/>
      <c r="C163"/>
      <c r="D163"/>
      <c r="E163"/>
      <c r="F163"/>
    </row>
    <row r="164" spans="1:6">
      <c r="A164"/>
      <c r="B164"/>
      <c r="C164"/>
      <c r="D164"/>
      <c r="E164"/>
      <c r="F164"/>
    </row>
    <row r="165" spans="1:6">
      <c r="A165"/>
      <c r="B165"/>
      <c r="C165"/>
      <c r="D165"/>
      <c r="E165"/>
      <c r="F165"/>
    </row>
    <row r="166" spans="1:6">
      <c r="A166"/>
      <c r="B166"/>
      <c r="C166"/>
      <c r="D166"/>
      <c r="E166"/>
      <c r="F166"/>
    </row>
    <row r="167" spans="1:6">
      <c r="A167"/>
      <c r="B167"/>
      <c r="C167"/>
      <c r="D167"/>
      <c r="E167"/>
      <c r="F167"/>
    </row>
    <row r="168" spans="1:6">
      <c r="A168"/>
      <c r="B168"/>
      <c r="C168"/>
      <c r="D168"/>
      <c r="E168"/>
      <c r="F168"/>
    </row>
    <row r="169" spans="1:6">
      <c r="A169"/>
      <c r="B169"/>
      <c r="C169"/>
      <c r="D169"/>
      <c r="E169"/>
      <c r="F169"/>
    </row>
    <row r="170" spans="1:6">
      <c r="A170"/>
      <c r="B170"/>
      <c r="C170"/>
      <c r="D170"/>
      <c r="E170"/>
      <c r="F170"/>
    </row>
    <row r="171" spans="1:6">
      <c r="A171"/>
      <c r="B171"/>
      <c r="C171"/>
      <c r="D171"/>
      <c r="E171"/>
      <c r="F171"/>
    </row>
    <row r="172" spans="1:6">
      <c r="A172"/>
      <c r="B172"/>
      <c r="C172"/>
      <c r="D172"/>
      <c r="E172"/>
      <c r="F172"/>
    </row>
    <row r="173" spans="1:6">
      <c r="A173"/>
      <c r="B173"/>
      <c r="C173"/>
      <c r="D173"/>
      <c r="E173"/>
      <c r="F173"/>
    </row>
    <row r="174" spans="1:6">
      <c r="A174"/>
      <c r="B174"/>
      <c r="C174"/>
      <c r="D174"/>
      <c r="E174"/>
      <c r="F174"/>
    </row>
    <row r="175" spans="1:6">
      <c r="A175"/>
      <c r="B175"/>
      <c r="C175"/>
      <c r="D175"/>
      <c r="E175"/>
      <c r="F175"/>
    </row>
    <row r="176" spans="1:6">
      <c r="A176"/>
      <c r="B176"/>
      <c r="C176"/>
      <c r="D176"/>
      <c r="E176"/>
      <c r="F176"/>
    </row>
    <row r="177" spans="1:6">
      <c r="A177"/>
      <c r="B177"/>
      <c r="C177"/>
      <c r="D177"/>
      <c r="E177"/>
      <c r="F177"/>
    </row>
    <row r="178" spans="1:6">
      <c r="A178"/>
      <c r="B178"/>
      <c r="C178"/>
      <c r="D178"/>
      <c r="E178"/>
      <c r="F178"/>
    </row>
    <row r="179" spans="1:6">
      <c r="A179"/>
      <c r="B179"/>
      <c r="C179"/>
      <c r="D179"/>
      <c r="E179"/>
      <c r="F179"/>
    </row>
    <row r="180" spans="1:6">
      <c r="A180"/>
      <c r="B180"/>
      <c r="C180"/>
      <c r="D180"/>
      <c r="E180"/>
      <c r="F180"/>
    </row>
    <row r="181" spans="1:6">
      <c r="A181"/>
      <c r="B181"/>
      <c r="C181"/>
    </row>
    <row r="182" spans="1:6">
      <c r="A182"/>
      <c r="B182"/>
      <c r="C182"/>
    </row>
    <row r="183" spans="1:6">
      <c r="A183"/>
      <c r="B183"/>
      <c r="C183"/>
    </row>
    <row r="184" spans="1:6">
      <c r="A184"/>
      <c r="B184"/>
      <c r="C184"/>
    </row>
    <row r="185" spans="1:6">
      <c r="A185"/>
      <c r="B185"/>
      <c r="C185"/>
    </row>
    <row r="186" spans="1:6">
      <c r="A186"/>
      <c r="B186"/>
      <c r="C186"/>
    </row>
    <row r="187" spans="1:6">
      <c r="A187"/>
      <c r="B187"/>
      <c r="C187"/>
    </row>
    <row r="188" spans="1:6">
      <c r="A188"/>
      <c r="B188"/>
      <c r="C188"/>
    </row>
    <row r="189" spans="1:6">
      <c r="A189"/>
      <c r="B189"/>
      <c r="C189"/>
    </row>
    <row r="190" spans="1:6">
      <c r="A190"/>
      <c r="B190"/>
      <c r="C190"/>
    </row>
    <row r="191" spans="1:6">
      <c r="A191"/>
      <c r="B191"/>
      <c r="C191"/>
    </row>
    <row r="192" spans="1:6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 s="23"/>
    </row>
    <row r="333" spans="1:3">
      <c r="A333"/>
      <c r="B333"/>
      <c r="C333" s="23"/>
    </row>
    <row r="334" spans="1:3">
      <c r="A334"/>
      <c r="B334"/>
      <c r="C334" s="23"/>
    </row>
    <row r="335" spans="1:3">
      <c r="A335"/>
      <c r="B335"/>
      <c r="C335" s="23"/>
    </row>
    <row r="336" spans="1:3">
      <c r="A336"/>
      <c r="B336"/>
      <c r="C336" s="23"/>
    </row>
    <row r="337" spans="1:3">
      <c r="A337"/>
      <c r="B337"/>
      <c r="C337" s="23"/>
    </row>
    <row r="338" spans="1:3">
      <c r="A338"/>
      <c r="B338"/>
      <c r="C338" s="23"/>
    </row>
    <row r="339" spans="1:3">
      <c r="A339"/>
      <c r="B339"/>
      <c r="C339" s="23"/>
    </row>
    <row r="340" spans="1:3">
      <c r="A340"/>
      <c r="B340"/>
      <c r="C340" s="23"/>
    </row>
    <row r="341" spans="1:3">
      <c r="A341"/>
      <c r="B341"/>
      <c r="C341" s="23"/>
    </row>
    <row r="342" spans="1:3">
      <c r="A342"/>
      <c r="B342"/>
      <c r="C342" s="23"/>
    </row>
    <row r="343" spans="1:3">
      <c r="A343"/>
      <c r="B343"/>
      <c r="C343" s="23"/>
    </row>
    <row r="344" spans="1:3">
      <c r="A344"/>
      <c r="B344"/>
      <c r="C344" s="23"/>
    </row>
    <row r="345" spans="1:3">
      <c r="A345"/>
      <c r="B345"/>
      <c r="C345" s="23"/>
    </row>
    <row r="346" spans="1:3">
      <c r="A346"/>
      <c r="B346"/>
      <c r="C346" s="23"/>
    </row>
    <row r="347" spans="1:3">
      <c r="A347"/>
      <c r="B347"/>
      <c r="C347" s="23"/>
    </row>
    <row r="348" spans="1:3">
      <c r="A348"/>
      <c r="B348"/>
      <c r="C348" s="23"/>
    </row>
    <row r="349" spans="1:3">
      <c r="A349"/>
      <c r="B349"/>
      <c r="C349" s="23"/>
    </row>
    <row r="350" spans="1:3">
      <c r="A350"/>
      <c r="B350"/>
      <c r="C350" s="23"/>
    </row>
    <row r="351" spans="1:3">
      <c r="A351"/>
      <c r="B351"/>
      <c r="C351" s="23"/>
    </row>
    <row r="352" spans="1:3">
      <c r="A352"/>
      <c r="B352"/>
      <c r="C352" s="23"/>
    </row>
    <row r="353" spans="1:3">
      <c r="A353"/>
      <c r="B353"/>
      <c r="C353" s="23"/>
    </row>
    <row r="354" spans="1:3">
      <c r="A354"/>
      <c r="B354"/>
      <c r="C354" s="23"/>
    </row>
    <row r="355" spans="1:3">
      <c r="A355"/>
      <c r="B355"/>
      <c r="C355" s="23"/>
    </row>
    <row r="356" spans="1:3">
      <c r="A356"/>
      <c r="B356"/>
      <c r="C356" s="23"/>
    </row>
    <row r="357" spans="1:3">
      <c r="A357"/>
      <c r="B357"/>
      <c r="C357" s="23"/>
    </row>
    <row r="358" spans="1:3">
      <c r="A358"/>
      <c r="B358"/>
      <c r="C358" s="23"/>
    </row>
    <row r="359" spans="1:3">
      <c r="A359"/>
      <c r="B359"/>
      <c r="C359" s="23"/>
    </row>
    <row r="360" spans="1:3">
      <c r="A360"/>
      <c r="B360"/>
      <c r="C360" s="23"/>
    </row>
    <row r="361" spans="1:3">
      <c r="A361"/>
      <c r="B361"/>
      <c r="C361" s="23"/>
    </row>
    <row r="362" spans="1:3">
      <c r="A362"/>
      <c r="B362"/>
      <c r="C362" s="23"/>
    </row>
    <row r="363" spans="1:3">
      <c r="A363"/>
      <c r="B363"/>
      <c r="C363" s="23"/>
    </row>
    <row r="364" spans="1:3">
      <c r="A364"/>
      <c r="B364"/>
      <c r="C364" s="23"/>
    </row>
    <row r="365" spans="1:3">
      <c r="A365"/>
      <c r="B365"/>
      <c r="C365" s="23"/>
    </row>
    <row r="366" spans="1:3">
      <c r="A366"/>
      <c r="B366"/>
      <c r="C366" s="23"/>
    </row>
    <row r="367" spans="1:3">
      <c r="A367"/>
      <c r="B367"/>
      <c r="C367" s="23"/>
    </row>
    <row r="368" spans="1:3">
      <c r="A368"/>
      <c r="B368"/>
      <c r="C368" s="23"/>
    </row>
    <row r="369" spans="1:3">
      <c r="A369"/>
      <c r="B369"/>
      <c r="C369" s="23"/>
    </row>
    <row r="370" spans="1:3">
      <c r="A370"/>
      <c r="B370"/>
      <c r="C370" s="23"/>
    </row>
    <row r="371" spans="1:3">
      <c r="A371"/>
      <c r="B371"/>
      <c r="C371" s="23"/>
    </row>
    <row r="372" spans="1:3">
      <c r="A372"/>
      <c r="B372"/>
      <c r="C372" s="23"/>
    </row>
    <row r="373" spans="1:3">
      <c r="A373"/>
      <c r="B373"/>
      <c r="C373" s="23"/>
    </row>
    <row r="374" spans="1:3">
      <c r="A374"/>
      <c r="B374"/>
      <c r="C374" s="23"/>
    </row>
    <row r="375" spans="1:3">
      <c r="A375"/>
      <c r="B375"/>
      <c r="C375" s="23"/>
    </row>
    <row r="376" spans="1:3">
      <c r="A376"/>
      <c r="B376"/>
      <c r="C376" s="23"/>
    </row>
    <row r="377" spans="1:3">
      <c r="A377"/>
      <c r="B377"/>
      <c r="C377" s="23"/>
    </row>
    <row r="378" spans="1:3">
      <c r="A378"/>
      <c r="B378"/>
      <c r="C378" s="23"/>
    </row>
    <row r="379" spans="1:3">
      <c r="A379"/>
      <c r="B379"/>
      <c r="C379" s="23"/>
    </row>
    <row r="380" spans="1:3">
      <c r="A380"/>
      <c r="B380"/>
      <c r="C380" s="23"/>
    </row>
    <row r="381" spans="1:3">
      <c r="A381"/>
      <c r="B381"/>
      <c r="C381" s="23"/>
    </row>
    <row r="382" spans="1:3">
      <c r="A382"/>
      <c r="B382"/>
      <c r="C382" s="23"/>
    </row>
    <row r="383" spans="1:3">
      <c r="A383"/>
      <c r="B383"/>
      <c r="C383" s="23"/>
    </row>
    <row r="384" spans="1:3">
      <c r="A384"/>
      <c r="B384"/>
      <c r="C384" s="23"/>
    </row>
    <row r="385" spans="1:3">
      <c r="A385"/>
      <c r="B385"/>
      <c r="C385" s="23"/>
    </row>
    <row r="386" spans="1:3">
      <c r="A386"/>
      <c r="B386"/>
      <c r="C386" s="23"/>
    </row>
    <row r="387" spans="1:3">
      <c r="A387"/>
      <c r="B387"/>
      <c r="C387" s="23"/>
    </row>
    <row r="388" spans="1:3">
      <c r="A388"/>
      <c r="B388"/>
      <c r="C388" s="23"/>
    </row>
    <row r="389" spans="1:3">
      <c r="A389"/>
      <c r="B389"/>
      <c r="C389" s="23"/>
    </row>
    <row r="390" spans="1:3">
      <c r="A390"/>
      <c r="B390"/>
      <c r="C390" s="23"/>
    </row>
    <row r="391" spans="1:3">
      <c r="A391"/>
      <c r="B391"/>
      <c r="C391" s="23"/>
    </row>
    <row r="392" spans="1:3">
      <c r="A392"/>
      <c r="B392"/>
      <c r="C392" s="23"/>
    </row>
    <row r="393" spans="1:3">
      <c r="A393"/>
      <c r="B393"/>
      <c r="C393" s="23"/>
    </row>
    <row r="394" spans="1:3">
      <c r="A394"/>
      <c r="B394"/>
      <c r="C394" s="23"/>
    </row>
    <row r="395" spans="1:3">
      <c r="A395"/>
      <c r="B395"/>
      <c r="C395" s="23"/>
    </row>
    <row r="396" spans="1:3">
      <c r="A396"/>
      <c r="B396"/>
      <c r="C396" s="23"/>
    </row>
    <row r="397" spans="1:3">
      <c r="A397"/>
      <c r="B397"/>
      <c r="C397" s="23"/>
    </row>
    <row r="398" spans="1:3">
      <c r="A398"/>
      <c r="B398"/>
      <c r="C398" s="23"/>
    </row>
    <row r="399" spans="1:3">
      <c r="A399"/>
      <c r="B399"/>
      <c r="C399" s="23"/>
    </row>
    <row r="400" spans="1:3">
      <c r="A400"/>
      <c r="B400"/>
      <c r="C400" s="23"/>
    </row>
    <row r="401" spans="1:3">
      <c r="A401"/>
      <c r="B401"/>
      <c r="C401" s="23"/>
    </row>
    <row r="402" spans="1:3">
      <c r="A402"/>
      <c r="B402"/>
      <c r="C402" s="23"/>
    </row>
    <row r="403" spans="1:3">
      <c r="A403"/>
      <c r="B403"/>
      <c r="C403" s="23"/>
    </row>
    <row r="404" spans="1:3">
      <c r="A404"/>
      <c r="B404"/>
      <c r="C404" s="23"/>
    </row>
    <row r="405" spans="1:3">
      <c r="A405"/>
      <c r="B405"/>
      <c r="C405" s="23"/>
    </row>
    <row r="406" spans="1:3">
      <c r="A406"/>
      <c r="B406"/>
      <c r="C406" s="23"/>
    </row>
    <row r="407" spans="1:3">
      <c r="A407"/>
      <c r="B407"/>
      <c r="C407" s="23"/>
    </row>
    <row r="408" spans="1:3">
      <c r="A408"/>
      <c r="B408"/>
      <c r="C408" s="23"/>
    </row>
    <row r="409" spans="1:3">
      <c r="A409"/>
      <c r="B409"/>
      <c r="C409" s="23"/>
    </row>
    <row r="410" spans="1:3">
      <c r="A410"/>
      <c r="B410"/>
      <c r="C410" s="23"/>
    </row>
    <row r="411" spans="1:3">
      <c r="A411"/>
      <c r="B411"/>
      <c r="C411" s="23"/>
    </row>
    <row r="412" spans="1:3">
      <c r="A412"/>
      <c r="B412"/>
      <c r="C412" s="23"/>
    </row>
    <row r="413" spans="1:3">
      <c r="A413"/>
      <c r="B413"/>
      <c r="C413" s="23"/>
    </row>
    <row r="414" spans="1:3">
      <c r="A414"/>
      <c r="B414"/>
      <c r="C414" s="23"/>
    </row>
    <row r="415" spans="1:3">
      <c r="A415"/>
      <c r="B415"/>
      <c r="C415" s="23"/>
    </row>
    <row r="416" spans="1:3">
      <c r="A416"/>
      <c r="B416"/>
      <c r="C416" s="23"/>
    </row>
    <row r="417" spans="1:3">
      <c r="A417"/>
      <c r="B417"/>
      <c r="C417" s="23"/>
    </row>
    <row r="418" spans="1:3">
      <c r="A418"/>
      <c r="B418"/>
      <c r="C418" s="23"/>
    </row>
    <row r="419" spans="1:3">
      <c r="A419"/>
      <c r="B419"/>
      <c r="C419" s="23"/>
    </row>
    <row r="420" spans="1:3">
      <c r="A420"/>
      <c r="B420"/>
      <c r="C420" s="23"/>
    </row>
    <row r="421" spans="1:3">
      <c r="A421"/>
      <c r="B421"/>
      <c r="C421" s="23"/>
    </row>
    <row r="422" spans="1:3">
      <c r="A422"/>
      <c r="B422"/>
      <c r="C422" s="23"/>
    </row>
    <row r="423" spans="1:3">
      <c r="A423"/>
      <c r="B423"/>
      <c r="C423" s="23"/>
    </row>
    <row r="424" spans="1:3">
      <c r="A424"/>
      <c r="B424"/>
      <c r="C424" s="23"/>
    </row>
    <row r="425" spans="1:3">
      <c r="A425"/>
      <c r="B425"/>
      <c r="C425" s="23"/>
    </row>
    <row r="426" spans="1:3">
      <c r="A426"/>
      <c r="B426"/>
      <c r="C426" s="23"/>
    </row>
    <row r="427" spans="1:3">
      <c r="A427"/>
      <c r="B427"/>
      <c r="C427" s="23"/>
    </row>
    <row r="428" spans="1:3">
      <c r="A428"/>
      <c r="B428"/>
      <c r="C428" s="23"/>
    </row>
    <row r="429" spans="1:3">
      <c r="A429"/>
      <c r="B429"/>
      <c r="C429" s="23"/>
    </row>
    <row r="430" spans="1:3">
      <c r="A430"/>
      <c r="B430"/>
      <c r="C430" s="23"/>
    </row>
    <row r="431" spans="1:3">
      <c r="A431"/>
      <c r="B431"/>
      <c r="C431" s="23"/>
    </row>
    <row r="432" spans="1:3">
      <c r="A432"/>
      <c r="B432"/>
      <c r="C432" s="23"/>
    </row>
    <row r="433" spans="1:3">
      <c r="A433"/>
      <c r="B433"/>
      <c r="C433" s="23"/>
    </row>
    <row r="434" spans="1:3">
      <c r="A434"/>
      <c r="B434"/>
      <c r="C434" s="23"/>
    </row>
    <row r="435" spans="1:3">
      <c r="A435"/>
      <c r="B435"/>
      <c r="C435" s="23"/>
    </row>
    <row r="436" spans="1:3">
      <c r="A436"/>
      <c r="B436"/>
      <c r="C436" s="23"/>
    </row>
    <row r="437" spans="1:3">
      <c r="A437"/>
      <c r="B437"/>
      <c r="C437" s="23"/>
    </row>
    <row r="438" spans="1:3">
      <c r="A438"/>
      <c r="B438"/>
      <c r="C438" s="23"/>
    </row>
    <row r="439" spans="1:3">
      <c r="A439"/>
      <c r="B439"/>
      <c r="C439" s="23"/>
    </row>
    <row r="440" spans="1:3">
      <c r="A440"/>
      <c r="B440"/>
      <c r="C440" s="23"/>
    </row>
    <row r="441" spans="1:3">
      <c r="A441"/>
      <c r="B441"/>
      <c r="C441" s="23"/>
    </row>
    <row r="442" spans="1:3">
      <c r="A442"/>
      <c r="B442"/>
      <c r="C442" s="23"/>
    </row>
    <row r="443" spans="1:3">
      <c r="A443"/>
      <c r="B443"/>
      <c r="C443" s="23"/>
    </row>
    <row r="444" spans="1:3">
      <c r="A444"/>
      <c r="B444"/>
      <c r="C444" s="23"/>
    </row>
    <row r="445" spans="1:3">
      <c r="A445"/>
      <c r="B445"/>
      <c r="C445" s="23"/>
    </row>
    <row r="446" spans="1:3">
      <c r="A446"/>
      <c r="B446"/>
      <c r="C446" s="23"/>
    </row>
    <row r="447" spans="1:3">
      <c r="A447"/>
      <c r="B447"/>
      <c r="C447" s="23"/>
    </row>
    <row r="448" spans="1:3">
      <c r="A448"/>
      <c r="B448"/>
      <c r="C448" s="23"/>
    </row>
    <row r="449" spans="1:3">
      <c r="A449"/>
      <c r="B449"/>
      <c r="C449" s="23"/>
    </row>
    <row r="450" spans="1:3">
      <c r="A450"/>
      <c r="B450"/>
      <c r="C450" s="23"/>
    </row>
    <row r="451" spans="1:3">
      <c r="A451"/>
      <c r="B451"/>
      <c r="C451" s="23"/>
    </row>
    <row r="452" spans="1:3">
      <c r="A452"/>
      <c r="B452"/>
      <c r="C452" s="23"/>
    </row>
    <row r="453" spans="1:3">
      <c r="A453"/>
      <c r="B453"/>
      <c r="C453" s="23"/>
    </row>
    <row r="454" spans="1:3">
      <c r="A454"/>
      <c r="B454"/>
      <c r="C454" s="23"/>
    </row>
    <row r="455" spans="1:3">
      <c r="A455"/>
      <c r="B455"/>
      <c r="C455" s="23"/>
    </row>
    <row r="456" spans="1:3">
      <c r="A456"/>
      <c r="B456"/>
      <c r="C456" s="23"/>
    </row>
    <row r="457" spans="1:3">
      <c r="A457"/>
      <c r="B457"/>
      <c r="C457" s="23"/>
    </row>
    <row r="458" spans="1:3">
      <c r="A458"/>
      <c r="B458"/>
      <c r="C458" s="23"/>
    </row>
    <row r="459" spans="1:3">
      <c r="A459"/>
      <c r="B459"/>
      <c r="C459" s="23"/>
    </row>
    <row r="460" spans="1:3">
      <c r="A460"/>
      <c r="B460"/>
      <c r="C460" s="23"/>
    </row>
    <row r="461" spans="1:3">
      <c r="A461"/>
      <c r="B461"/>
      <c r="C461" s="23"/>
    </row>
    <row r="462" spans="1:3">
      <c r="A462"/>
      <c r="B462"/>
      <c r="C462" s="23"/>
    </row>
    <row r="463" spans="1:3">
      <c r="A463"/>
      <c r="B463"/>
      <c r="C463" s="23"/>
    </row>
    <row r="464" spans="1:3">
      <c r="A464"/>
      <c r="B464"/>
      <c r="C464" s="23"/>
    </row>
    <row r="465" spans="1:3">
      <c r="A465"/>
      <c r="B465"/>
      <c r="C465" s="23"/>
    </row>
    <row r="466" spans="1:3">
      <c r="A466"/>
      <c r="B466"/>
      <c r="C466" s="23"/>
    </row>
    <row r="467" spans="1:3">
      <c r="A467"/>
      <c r="B467"/>
      <c r="C467" s="23"/>
    </row>
    <row r="468" spans="1:3">
      <c r="A468"/>
      <c r="B468"/>
      <c r="C468" s="23"/>
    </row>
    <row r="469" spans="1:3">
      <c r="A469"/>
      <c r="B469"/>
      <c r="C469" s="23"/>
    </row>
    <row r="470" spans="1:3">
      <c r="A470"/>
      <c r="B470"/>
      <c r="C470" s="23"/>
    </row>
    <row r="471" spans="1:3">
      <c r="A471"/>
      <c r="B471"/>
      <c r="C471" s="23"/>
    </row>
    <row r="472" spans="1:3">
      <c r="A472"/>
      <c r="B472"/>
      <c r="C472" s="23"/>
    </row>
    <row r="473" spans="1:3">
      <c r="A473"/>
      <c r="B473"/>
      <c r="C473" s="23"/>
    </row>
    <row r="474" spans="1:3">
      <c r="A474"/>
      <c r="B474"/>
      <c r="C474" s="23"/>
    </row>
    <row r="475" spans="1:3">
      <c r="A475"/>
      <c r="B475"/>
      <c r="C475" s="23"/>
    </row>
    <row r="476" spans="1:3">
      <c r="A476"/>
      <c r="B476"/>
      <c r="C476" s="23"/>
    </row>
    <row r="477" spans="1:3">
      <c r="A477"/>
      <c r="B477"/>
      <c r="C477" s="23"/>
    </row>
    <row r="478" spans="1:3">
      <c r="A478"/>
      <c r="B478"/>
      <c r="C478" s="23"/>
    </row>
    <row r="479" spans="1:3">
      <c r="A479"/>
      <c r="B479"/>
      <c r="C479" s="23"/>
    </row>
    <row r="480" spans="1:3">
      <c r="A480"/>
      <c r="B480"/>
      <c r="C480" s="23"/>
    </row>
    <row r="481" spans="1:3">
      <c r="A481"/>
      <c r="B481"/>
      <c r="C481" s="23"/>
    </row>
    <row r="482" spans="1:3">
      <c r="A482"/>
      <c r="B482"/>
      <c r="C482" s="23"/>
    </row>
    <row r="483" spans="1:3">
      <c r="A483"/>
      <c r="B483"/>
      <c r="C483" s="23"/>
    </row>
    <row r="484" spans="1:3">
      <c r="A484"/>
      <c r="B484"/>
      <c r="C484" s="23"/>
    </row>
    <row r="485" spans="1:3">
      <c r="A485"/>
      <c r="B485"/>
      <c r="C485" s="23"/>
    </row>
    <row r="486" spans="1:3">
      <c r="A486"/>
      <c r="B486"/>
      <c r="C486" s="23"/>
    </row>
    <row r="487" spans="1:3">
      <c r="A487"/>
      <c r="B487"/>
      <c r="C487" s="23"/>
    </row>
    <row r="488" spans="1:3">
      <c r="A488"/>
      <c r="B488"/>
      <c r="C488" s="23"/>
    </row>
    <row r="489" spans="1:3">
      <c r="A489"/>
      <c r="B489"/>
      <c r="C489" s="23"/>
    </row>
    <row r="490" spans="1:3">
      <c r="A490"/>
      <c r="B490"/>
      <c r="C490" s="23"/>
    </row>
    <row r="491" spans="1:3">
      <c r="A491"/>
      <c r="B491"/>
      <c r="C491" s="23"/>
    </row>
    <row r="492" spans="1:3">
      <c r="A492"/>
      <c r="B492"/>
      <c r="C492" s="23"/>
    </row>
    <row r="493" spans="1:3">
      <c r="A493"/>
      <c r="B493"/>
      <c r="C493" s="23"/>
    </row>
    <row r="494" spans="1:3">
      <c r="A494"/>
      <c r="B494"/>
      <c r="C494" s="23"/>
    </row>
    <row r="495" spans="1:3">
      <c r="A495"/>
      <c r="B495"/>
      <c r="C495" s="23"/>
    </row>
    <row r="496" spans="1:3">
      <c r="A496"/>
      <c r="B496"/>
      <c r="C496" s="23"/>
    </row>
    <row r="497" spans="1:3">
      <c r="A497"/>
      <c r="B497"/>
      <c r="C497" s="23"/>
    </row>
    <row r="498" spans="1:3">
      <c r="A498"/>
      <c r="B498"/>
      <c r="C498" s="23"/>
    </row>
    <row r="499" spans="1:3">
      <c r="A499"/>
      <c r="B499"/>
      <c r="C499" s="23"/>
    </row>
    <row r="500" spans="1:3">
      <c r="A500"/>
      <c r="B500"/>
      <c r="C500" s="23"/>
    </row>
    <row r="501" spans="1:3">
      <c r="A501"/>
      <c r="B501"/>
      <c r="C501" s="23"/>
    </row>
    <row r="502" spans="1:3">
      <c r="A502"/>
      <c r="B502"/>
      <c r="C502" s="23"/>
    </row>
    <row r="503" spans="1:3">
      <c r="A503"/>
      <c r="B503"/>
      <c r="C503" s="23"/>
    </row>
    <row r="504" spans="1:3">
      <c r="A504"/>
      <c r="B504"/>
      <c r="C504" s="23"/>
    </row>
    <row r="505" spans="1:3">
      <c r="A505"/>
      <c r="B505"/>
      <c r="C505" s="23"/>
    </row>
    <row r="506" spans="1:3">
      <c r="A506"/>
      <c r="B506"/>
      <c r="C506" s="23"/>
    </row>
    <row r="507" spans="1:3">
      <c r="A507"/>
      <c r="B507"/>
      <c r="C507" s="23"/>
    </row>
    <row r="508" spans="1:3">
      <c r="A508"/>
      <c r="B508"/>
      <c r="C508" s="23"/>
    </row>
    <row r="509" spans="1:3">
      <c r="A509"/>
      <c r="B509"/>
      <c r="C509" s="23"/>
    </row>
    <row r="510" spans="1:3">
      <c r="A510"/>
      <c r="B510"/>
      <c r="C510" s="23"/>
    </row>
    <row r="511" spans="1:3">
      <c r="A511"/>
      <c r="B511"/>
      <c r="C511" s="23"/>
    </row>
    <row r="512" spans="1:3">
      <c r="A512"/>
      <c r="B512"/>
      <c r="C512" s="23"/>
    </row>
    <row r="513" spans="1:3">
      <c r="A513"/>
      <c r="B513"/>
      <c r="C513" s="23"/>
    </row>
    <row r="514" spans="1:3">
      <c r="A514"/>
      <c r="B514"/>
      <c r="C514" s="23"/>
    </row>
    <row r="515" spans="1:3">
      <c r="A515"/>
      <c r="B515"/>
      <c r="C515" s="23"/>
    </row>
    <row r="516" spans="1:3">
      <c r="A516"/>
      <c r="B516"/>
      <c r="C516" s="23"/>
    </row>
    <row r="517" spans="1:3">
      <c r="A517"/>
      <c r="B517"/>
      <c r="C517" s="23"/>
    </row>
    <row r="518" spans="1:3">
      <c r="A518"/>
      <c r="B518"/>
      <c r="C518" s="23"/>
    </row>
    <row r="519" spans="1:3">
      <c r="A519"/>
      <c r="B519"/>
      <c r="C519" s="23"/>
    </row>
    <row r="520" spans="1:3">
      <c r="A520"/>
      <c r="B520"/>
      <c r="C520" s="23"/>
    </row>
    <row r="521" spans="1:3">
      <c r="A521"/>
      <c r="B521"/>
      <c r="C521" s="23"/>
    </row>
    <row r="522" spans="1:3">
      <c r="A522"/>
      <c r="B522"/>
      <c r="C522" s="23"/>
    </row>
    <row r="523" spans="1:3">
      <c r="A523"/>
      <c r="B523"/>
      <c r="C523" s="23"/>
    </row>
    <row r="524" spans="1:3">
      <c r="A524"/>
      <c r="B524"/>
      <c r="C524" s="23"/>
    </row>
    <row r="525" spans="1:3">
      <c r="A525"/>
      <c r="B525"/>
      <c r="C525" s="23"/>
    </row>
    <row r="526" spans="1:3">
      <c r="A526"/>
      <c r="B526"/>
      <c r="C526" s="23"/>
    </row>
    <row r="527" spans="1:3">
      <c r="A527"/>
      <c r="B527"/>
      <c r="C527" s="23"/>
    </row>
    <row r="528" spans="1:3">
      <c r="A528"/>
      <c r="B528"/>
      <c r="C528" s="23"/>
    </row>
    <row r="529" spans="1:3">
      <c r="A529"/>
      <c r="B529"/>
      <c r="C529" s="23"/>
    </row>
    <row r="530" spans="1:3">
      <c r="A530"/>
      <c r="B530"/>
      <c r="C530" s="23"/>
    </row>
    <row r="531" spans="1:3">
      <c r="A531"/>
      <c r="B531"/>
      <c r="C531" s="23"/>
    </row>
    <row r="532" spans="1:3">
      <c r="A532"/>
      <c r="B532"/>
      <c r="C532" s="23"/>
    </row>
    <row r="533" spans="1:3">
      <c r="A533"/>
      <c r="B533"/>
      <c r="C533" s="23"/>
    </row>
    <row r="534" spans="1:3">
      <c r="A534"/>
      <c r="B534"/>
      <c r="C534" s="23"/>
    </row>
    <row r="535" spans="1:3">
      <c r="A535"/>
      <c r="B535"/>
      <c r="C535" s="23"/>
    </row>
    <row r="536" spans="1:3">
      <c r="A536"/>
      <c r="B536"/>
      <c r="C536" s="23"/>
    </row>
    <row r="537" spans="1:3">
      <c r="A537"/>
      <c r="B537"/>
      <c r="C537" s="23"/>
    </row>
    <row r="538" spans="1:3">
      <c r="A538"/>
      <c r="B538"/>
      <c r="C538" s="23"/>
    </row>
    <row r="539" spans="1:3">
      <c r="A539"/>
      <c r="B539"/>
      <c r="C539" s="23"/>
    </row>
    <row r="540" spans="1:3">
      <c r="A540"/>
      <c r="B540"/>
      <c r="C540" s="23"/>
    </row>
    <row r="541" spans="1:3">
      <c r="A541"/>
      <c r="B541"/>
      <c r="C541" s="23"/>
    </row>
    <row r="542" spans="1:3">
      <c r="A542"/>
      <c r="B542"/>
      <c r="C542" s="23"/>
    </row>
    <row r="543" spans="1:3">
      <c r="A543"/>
      <c r="B543"/>
      <c r="C543" s="23"/>
    </row>
    <row r="544" spans="1:3">
      <c r="A544"/>
      <c r="B544"/>
      <c r="C544" s="23"/>
    </row>
  </sheetData>
  <mergeCells count="2">
    <mergeCell ref="F17:K17"/>
    <mergeCell ref="F24:K24"/>
  </mergeCells>
  <conditionalFormatting pivot="1" sqref="U7">
    <cfRule type="top10" dxfId="535" priority="14" percent="1" bottom="1" rank="74"/>
  </conditionalFormatting>
  <conditionalFormatting pivot="1" sqref="U7">
    <cfRule type="top10" dxfId="534" priority="13" percent="1" bottom="1" rank="74"/>
  </conditionalFormatting>
  <pageMargins left="0.7" right="0.7" top="0.75" bottom="0.75" header="0.3" footer="0.3"/>
  <pageSetup orientation="portrait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818D-CF5D-4A4F-BF27-6F6E97EFB047}">
  <sheetPr codeName="Hoja3"/>
  <dimension ref="A1:G24"/>
  <sheetViews>
    <sheetView zoomScaleNormal="100" workbookViewId="0">
      <selection activeCell="B6" sqref="B6"/>
    </sheetView>
  </sheetViews>
  <sheetFormatPr baseColWidth="10" defaultColWidth="11.42578125" defaultRowHeight="15"/>
  <cols>
    <col min="1" max="1" width="25.5703125" customWidth="1"/>
    <col min="2" max="2" width="17.5703125" bestFit="1" customWidth="1"/>
    <col min="3" max="5" width="10.85546875" customWidth="1"/>
  </cols>
  <sheetData>
    <row r="1" spans="1:3">
      <c r="A1" t="s">
        <v>70</v>
      </c>
      <c r="B1" s="23">
        <f>GETPIVOTDATA("[Measures].[Conteo_Respuesta]",Hoja1!$T$2)</f>
        <v>242</v>
      </c>
    </row>
    <row r="2" spans="1:3">
      <c r="A2" s="20" t="s">
        <v>2</v>
      </c>
      <c r="B2" s="18">
        <f>GETPIVOTDATA("[Measures].[Conteo_Detractor]",Hoja1!$T$2)</f>
        <v>23</v>
      </c>
    </row>
    <row r="3" spans="1:3">
      <c r="A3" s="20" t="s">
        <v>4</v>
      </c>
      <c r="B3" s="18">
        <f>GETPIVOTDATA("[Measures].[Conteo_Promotor]",Hoja1!$T$2)</f>
        <v>191</v>
      </c>
    </row>
    <row r="4" spans="1:3">
      <c r="A4" s="20" t="s">
        <v>7</v>
      </c>
      <c r="B4" s="22">
        <f>GETPIVOTDATA("[Measures].[tNPS]",Hoja1!$T$2,"[sabana].[Supervisor]","[sabana].[Supervisor].&amp;[Jaime Flores]")</f>
        <v>0.60869565217391297</v>
      </c>
    </row>
    <row r="5" spans="1:3">
      <c r="A5" s="20" t="s">
        <v>71</v>
      </c>
      <c r="B5" s="22">
        <f>GETPIVOTDATA("[Measures].[tNPS]",Hoja1!$T$2,"[sabana].[Supervisor]","[sabana].[Supervisor].&amp;[Erick Morales]")</f>
        <v>0.66990291262135926</v>
      </c>
    </row>
    <row r="6" spans="1:3">
      <c r="A6" s="20" t="s">
        <v>72</v>
      </c>
      <c r="B6" s="22" t="e">
        <f>GETPIVOTDATA("[Measures].[tNPS]",Hoja1!$T$2,"[sabana].[Supervisor]","[sabana].[Supervisor].&amp;[Gerardo Leiva]")</f>
        <v>#REF!</v>
      </c>
    </row>
    <row r="7" spans="1:3">
      <c r="A7" s="20" t="s">
        <v>73</v>
      </c>
      <c r="B7" s="22">
        <f>GETPIVOTDATA("[Measures].[tNPS]",Hoja1!$T$2,"[sabana].[Supervisor]","[sabana].[Supervisor].&amp;[Rodrigo Gomez]")</f>
        <v>0.78181818181818175</v>
      </c>
    </row>
    <row r="8" spans="1:3" s="25" customFormat="1">
      <c r="A8" s="20" t="s">
        <v>10</v>
      </c>
      <c r="B8" s="22">
        <f>GETPIVOTDATA("[Measures].[tNPS]",Hoja1!$F$18)</f>
        <v>0.66666666666666674</v>
      </c>
    </row>
    <row r="9" spans="1:3">
      <c r="A9" s="20" t="s">
        <v>12</v>
      </c>
      <c r="B9" s="22">
        <f>GETPIVOTDATA("[Measures].[tNPS]",Hoja1!$T$2)</f>
        <v>0.69421487603305787</v>
      </c>
    </row>
    <row r="10" spans="1:3">
      <c r="A10" s="20" t="s">
        <v>74</v>
      </c>
      <c r="B10" s="22">
        <f>GETPIVOTDATA("[Measures].[tNPS]",Hoja1!$T$2)</f>
        <v>0.69421487603305787</v>
      </c>
    </row>
    <row r="11" spans="1:3">
      <c r="A11" s="20" t="s">
        <v>75</v>
      </c>
      <c r="B11" s="18">
        <v>70</v>
      </c>
      <c r="C11" s="26" t="s">
        <v>76</v>
      </c>
    </row>
    <row r="12" spans="1:3">
      <c r="A12" s="20" t="s">
        <v>77</v>
      </c>
      <c r="B12" s="18">
        <v>90</v>
      </c>
      <c r="C12" s="26" t="s">
        <v>76</v>
      </c>
    </row>
    <row r="13" spans="1:3">
      <c r="A13" s="20" t="s">
        <v>78</v>
      </c>
      <c r="B13" s="18">
        <v>67</v>
      </c>
      <c r="C13" s="26" t="s">
        <v>76</v>
      </c>
    </row>
    <row r="14" spans="1:3">
      <c r="A14" s="20" t="s">
        <v>79</v>
      </c>
      <c r="B14" s="18">
        <v>54</v>
      </c>
      <c r="C14" s="26" t="s">
        <v>76</v>
      </c>
    </row>
    <row r="15" spans="1:3">
      <c r="A15" s="20" t="s">
        <v>80</v>
      </c>
      <c r="B15" s="18">
        <v>33</v>
      </c>
      <c r="C15" s="26" t="s">
        <v>76</v>
      </c>
    </row>
    <row r="16" spans="1:3">
      <c r="A16" s="21" t="s">
        <v>81</v>
      </c>
      <c r="B16" s="18" t="s">
        <v>82</v>
      </c>
      <c r="C16" s="26" t="s">
        <v>76</v>
      </c>
    </row>
    <row r="17" spans="1:7">
      <c r="A17" s="21" t="s">
        <v>83</v>
      </c>
      <c r="B17" s="24">
        <v>6</v>
      </c>
      <c r="C17" s="26" t="s">
        <v>76</v>
      </c>
    </row>
    <row r="18" spans="1:7">
      <c r="A18" s="21" t="s">
        <v>84</v>
      </c>
      <c r="B18" s="18"/>
      <c r="C18" s="26" t="s">
        <v>76</v>
      </c>
    </row>
    <row r="19" spans="1:7">
      <c r="A19" s="21" t="s">
        <v>85</v>
      </c>
      <c r="B19" s="18" t="s">
        <v>86</v>
      </c>
      <c r="C19" s="26" t="s">
        <v>76</v>
      </c>
    </row>
    <row r="20" spans="1:7">
      <c r="A20" s="21" t="s">
        <v>87</v>
      </c>
      <c r="B20" s="18">
        <v>40</v>
      </c>
      <c r="C20" s="26" t="s">
        <v>76</v>
      </c>
    </row>
    <row r="21" spans="1:7">
      <c r="A21" s="21" t="s">
        <v>88</v>
      </c>
      <c r="B21" s="18"/>
      <c r="C21" s="26" t="s">
        <v>76</v>
      </c>
    </row>
    <row r="22" spans="1:7">
      <c r="A22" s="21" t="s">
        <v>89</v>
      </c>
      <c r="B22" s="18" t="s">
        <v>90</v>
      </c>
      <c r="C22" s="26" t="s">
        <v>76</v>
      </c>
    </row>
    <row r="23" spans="1:7">
      <c r="A23" s="21" t="s">
        <v>91</v>
      </c>
      <c r="B23" s="18">
        <v>60</v>
      </c>
      <c r="C23" s="26" t="s">
        <v>76</v>
      </c>
      <c r="E23" s="19"/>
      <c r="F23" s="19"/>
      <c r="G23" s="19"/>
    </row>
    <row r="24" spans="1:7">
      <c r="A24" s="21" t="s">
        <v>92</v>
      </c>
      <c r="B24" s="24"/>
      <c r="C24" s="26" t="s">
        <v>76</v>
      </c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B7F5D-A03A-4557-B4BC-64660B38C601}">
  <sheetPr codeName="Hoja2"/>
  <dimension ref="A1:C76"/>
  <sheetViews>
    <sheetView topLeftCell="A67" workbookViewId="0">
      <selection activeCell="A2" sqref="A2:A76"/>
    </sheetView>
  </sheetViews>
  <sheetFormatPr baseColWidth="10" defaultColWidth="11.42578125" defaultRowHeight="15"/>
  <cols>
    <col min="1" max="1" width="25.7109375" bestFit="1" customWidth="1"/>
    <col min="2" max="2" width="13.5703125" bestFit="1" customWidth="1"/>
  </cols>
  <sheetData>
    <row r="1" spans="1:3">
      <c r="A1" t="s">
        <v>93</v>
      </c>
      <c r="B1" t="s">
        <v>94</v>
      </c>
      <c r="C1" t="s">
        <v>95</v>
      </c>
    </row>
    <row r="2" spans="1:3">
      <c r="A2" s="48" t="s">
        <v>38</v>
      </c>
      <c r="B2" s="47" t="s">
        <v>6</v>
      </c>
      <c r="C2" s="47" t="s">
        <v>12</v>
      </c>
    </row>
    <row r="3" spans="1:3">
      <c r="A3" s="48" t="s">
        <v>33</v>
      </c>
      <c r="B3" s="47" t="s">
        <v>6</v>
      </c>
      <c r="C3" s="47" t="s">
        <v>12</v>
      </c>
    </row>
    <row r="4" spans="1:3">
      <c r="A4" s="48" t="s">
        <v>36</v>
      </c>
      <c r="B4" s="47" t="s">
        <v>7</v>
      </c>
      <c r="C4" s="47" t="s">
        <v>10</v>
      </c>
    </row>
    <row r="5" spans="1:3">
      <c r="A5" s="48" t="s">
        <v>48</v>
      </c>
      <c r="B5" s="47" t="s">
        <v>11</v>
      </c>
      <c r="C5" s="47" t="s">
        <v>10</v>
      </c>
    </row>
    <row r="6" spans="1:3">
      <c r="A6" s="48" t="s">
        <v>20</v>
      </c>
      <c r="B6" s="47" t="s">
        <v>11</v>
      </c>
      <c r="C6" s="47" t="s">
        <v>10</v>
      </c>
    </row>
    <row r="7" spans="1:3">
      <c r="A7" s="48" t="s">
        <v>19</v>
      </c>
      <c r="B7" s="47" t="s">
        <v>7</v>
      </c>
      <c r="C7" s="47" t="s">
        <v>10</v>
      </c>
    </row>
    <row r="8" spans="1:3">
      <c r="A8" s="48" t="s">
        <v>15</v>
      </c>
      <c r="B8" s="47" t="s">
        <v>7</v>
      </c>
      <c r="C8" s="47" t="s">
        <v>10</v>
      </c>
    </row>
    <row r="9" spans="1:3">
      <c r="A9" s="47" t="s">
        <v>96</v>
      </c>
      <c r="B9" s="47" t="s">
        <v>6</v>
      </c>
      <c r="C9" s="47" t="s">
        <v>12</v>
      </c>
    </row>
    <row r="10" spans="1:3">
      <c r="A10" s="47" t="s">
        <v>28</v>
      </c>
      <c r="B10" s="47" t="s">
        <v>6</v>
      </c>
      <c r="C10" s="47" t="s">
        <v>12</v>
      </c>
    </row>
    <row r="11" spans="1:3">
      <c r="A11" s="47" t="s">
        <v>25</v>
      </c>
      <c r="B11" s="47" t="s">
        <v>8</v>
      </c>
      <c r="C11" s="47" t="s">
        <v>12</v>
      </c>
    </row>
    <row r="12" spans="1:3">
      <c r="A12" s="47" t="s">
        <v>97</v>
      </c>
      <c r="B12" s="47" t="s">
        <v>6</v>
      </c>
      <c r="C12" s="47" t="s">
        <v>12</v>
      </c>
    </row>
    <row r="13" spans="1:3">
      <c r="A13" s="47" t="s">
        <v>23</v>
      </c>
      <c r="B13" s="47" t="s">
        <v>6</v>
      </c>
      <c r="C13" s="47" t="s">
        <v>12</v>
      </c>
    </row>
    <row r="14" spans="1:3">
      <c r="A14" s="47" t="s">
        <v>98</v>
      </c>
      <c r="B14" s="47" t="s">
        <v>7</v>
      </c>
      <c r="C14" s="47" t="s">
        <v>10</v>
      </c>
    </row>
    <row r="15" spans="1:3">
      <c r="A15" s="47" t="s">
        <v>31</v>
      </c>
      <c r="B15" s="47" t="s">
        <v>6</v>
      </c>
      <c r="C15" s="47" t="s">
        <v>12</v>
      </c>
    </row>
    <row r="16" spans="1:3">
      <c r="A16" s="47" t="s">
        <v>110</v>
      </c>
      <c r="B16" s="47" t="s">
        <v>6</v>
      </c>
      <c r="C16" s="47" t="s">
        <v>12</v>
      </c>
    </row>
    <row r="17" spans="1:3">
      <c r="A17" s="47" t="s">
        <v>67</v>
      </c>
      <c r="B17" s="47" t="s">
        <v>8</v>
      </c>
      <c r="C17" s="47" t="s">
        <v>12</v>
      </c>
    </row>
    <row r="18" spans="1:3">
      <c r="A18" s="47" t="s">
        <v>63</v>
      </c>
      <c r="B18" s="47" t="s">
        <v>8</v>
      </c>
      <c r="C18" s="47" t="s">
        <v>12</v>
      </c>
    </row>
    <row r="19" spans="1:3">
      <c r="A19" s="47" t="s">
        <v>16</v>
      </c>
      <c r="B19" s="47" t="s">
        <v>6</v>
      </c>
      <c r="C19" s="47" t="s">
        <v>12</v>
      </c>
    </row>
    <row r="20" spans="1:3">
      <c r="A20" s="47" t="s">
        <v>111</v>
      </c>
      <c r="B20" s="47" t="s">
        <v>8</v>
      </c>
      <c r="C20" s="47" t="s">
        <v>12</v>
      </c>
    </row>
    <row r="21" spans="1:3">
      <c r="A21" s="47" t="s">
        <v>29</v>
      </c>
      <c r="B21" s="47" t="s">
        <v>6</v>
      </c>
      <c r="C21" s="47" t="s">
        <v>12</v>
      </c>
    </row>
    <row r="22" spans="1:3">
      <c r="A22" s="47" t="s">
        <v>62</v>
      </c>
      <c r="B22" s="47" t="s">
        <v>8</v>
      </c>
      <c r="C22" s="47" t="s">
        <v>12</v>
      </c>
    </row>
    <row r="23" spans="1:3">
      <c r="A23" s="47" t="s">
        <v>99</v>
      </c>
      <c r="B23" s="47" t="s">
        <v>6</v>
      </c>
      <c r="C23" s="47" t="s">
        <v>12</v>
      </c>
    </row>
    <row r="24" spans="1:3">
      <c r="A24" s="47" t="s">
        <v>44</v>
      </c>
      <c r="B24" s="47" t="s">
        <v>11</v>
      </c>
      <c r="C24" s="47" t="s">
        <v>10</v>
      </c>
    </row>
    <row r="25" spans="1:3">
      <c r="A25" s="47" t="s">
        <v>61</v>
      </c>
      <c r="B25" s="47" t="s">
        <v>8</v>
      </c>
      <c r="C25" s="47" t="s">
        <v>12</v>
      </c>
    </row>
    <row r="26" spans="1:3">
      <c r="A26" s="47" t="s">
        <v>37</v>
      </c>
      <c r="B26" s="47" t="s">
        <v>6</v>
      </c>
      <c r="C26" s="47" t="s">
        <v>12</v>
      </c>
    </row>
    <row r="27" spans="1:3">
      <c r="A27" s="47" t="s">
        <v>52</v>
      </c>
      <c r="B27" s="47" t="s">
        <v>6</v>
      </c>
      <c r="C27" s="47" t="s">
        <v>12</v>
      </c>
    </row>
    <row r="28" spans="1:3">
      <c r="A28" s="47" t="s">
        <v>22</v>
      </c>
      <c r="B28" s="47" t="s">
        <v>8</v>
      </c>
      <c r="C28" s="47" t="s">
        <v>12</v>
      </c>
    </row>
    <row r="29" spans="1:3">
      <c r="A29" s="47" t="s">
        <v>112</v>
      </c>
      <c r="B29" s="47" t="s">
        <v>8</v>
      </c>
      <c r="C29" s="47" t="s">
        <v>12</v>
      </c>
    </row>
    <row r="30" spans="1:3">
      <c r="A30" s="47" t="s">
        <v>100</v>
      </c>
      <c r="B30" s="47" t="s">
        <v>6</v>
      </c>
      <c r="C30" s="47" t="s">
        <v>12</v>
      </c>
    </row>
    <row r="31" spans="1:3">
      <c r="A31" s="47" t="s">
        <v>57</v>
      </c>
      <c r="B31" s="47" t="s">
        <v>8</v>
      </c>
      <c r="C31" s="47" t="s">
        <v>12</v>
      </c>
    </row>
    <row r="32" spans="1:3">
      <c r="A32" s="47" t="s">
        <v>46</v>
      </c>
      <c r="B32" s="47" t="s">
        <v>6</v>
      </c>
      <c r="C32" s="47" t="s">
        <v>12</v>
      </c>
    </row>
    <row r="33" spans="1:3">
      <c r="A33" s="47" t="s">
        <v>41</v>
      </c>
      <c r="B33" s="47" t="s">
        <v>8</v>
      </c>
      <c r="C33" s="47" t="s">
        <v>12</v>
      </c>
    </row>
    <row r="34" spans="1:3">
      <c r="A34" s="47" t="s">
        <v>113</v>
      </c>
      <c r="B34" s="47" t="s">
        <v>8</v>
      </c>
      <c r="C34" s="47" t="s">
        <v>12</v>
      </c>
    </row>
    <row r="35" spans="1:3">
      <c r="A35" s="47" t="s">
        <v>51</v>
      </c>
      <c r="B35" s="47" t="s">
        <v>8</v>
      </c>
      <c r="C35" s="47" t="s">
        <v>12</v>
      </c>
    </row>
    <row r="36" spans="1:3">
      <c r="A36" s="47" t="s">
        <v>35</v>
      </c>
      <c r="B36" s="47" t="s">
        <v>8</v>
      </c>
      <c r="C36" s="47" t="s">
        <v>12</v>
      </c>
    </row>
    <row r="37" spans="1:3">
      <c r="A37" s="47" t="s">
        <v>101</v>
      </c>
      <c r="B37" s="47" t="s">
        <v>6</v>
      </c>
      <c r="C37" s="47" t="s">
        <v>12</v>
      </c>
    </row>
    <row r="38" spans="1:3">
      <c r="A38" s="47" t="s">
        <v>60</v>
      </c>
      <c r="B38" s="47" t="s">
        <v>6</v>
      </c>
      <c r="C38" s="47" t="s">
        <v>12</v>
      </c>
    </row>
    <row r="39" spans="1:3">
      <c r="A39" s="47" t="s">
        <v>34</v>
      </c>
      <c r="B39" s="47" t="s">
        <v>8</v>
      </c>
      <c r="C39" s="47" t="s">
        <v>12</v>
      </c>
    </row>
    <row r="40" spans="1:3">
      <c r="A40" s="47" t="s">
        <v>64</v>
      </c>
      <c r="B40" s="47" t="s">
        <v>6</v>
      </c>
      <c r="C40" s="47" t="s">
        <v>12</v>
      </c>
    </row>
    <row r="41" spans="1:3">
      <c r="A41" s="47" t="s">
        <v>53</v>
      </c>
      <c r="B41" s="47" t="s">
        <v>6</v>
      </c>
      <c r="C41" s="47" t="s">
        <v>12</v>
      </c>
    </row>
    <row r="42" spans="1:3">
      <c r="A42" s="47" t="s">
        <v>26</v>
      </c>
      <c r="B42" s="47" t="s">
        <v>6</v>
      </c>
      <c r="C42" s="47" t="s">
        <v>12</v>
      </c>
    </row>
    <row r="43" spans="1:3">
      <c r="A43" s="47" t="s">
        <v>102</v>
      </c>
      <c r="B43" s="47" t="s">
        <v>6</v>
      </c>
      <c r="C43" s="47" t="s">
        <v>12</v>
      </c>
    </row>
    <row r="44" spans="1:3">
      <c r="A44" s="47" t="s">
        <v>45</v>
      </c>
      <c r="B44" s="47" t="s">
        <v>6</v>
      </c>
      <c r="C44" s="47" t="s">
        <v>12</v>
      </c>
    </row>
    <row r="45" spans="1:3">
      <c r="A45" s="47" t="s">
        <v>43</v>
      </c>
      <c r="B45" s="47" t="s">
        <v>6</v>
      </c>
      <c r="C45" s="47" t="s">
        <v>12</v>
      </c>
    </row>
    <row r="46" spans="1:3">
      <c r="A46" s="47" t="s">
        <v>47</v>
      </c>
      <c r="B46" s="47" t="s">
        <v>8</v>
      </c>
      <c r="C46" s="47" t="s">
        <v>12</v>
      </c>
    </row>
    <row r="47" spans="1:3">
      <c r="A47" s="47" t="s">
        <v>103</v>
      </c>
      <c r="B47" s="47" t="s">
        <v>8</v>
      </c>
      <c r="C47" s="47" t="s">
        <v>12</v>
      </c>
    </row>
    <row r="48" spans="1:3">
      <c r="A48" s="47" t="s">
        <v>65</v>
      </c>
      <c r="B48" s="47" t="s">
        <v>6</v>
      </c>
      <c r="C48" s="47" t="s">
        <v>12</v>
      </c>
    </row>
    <row r="49" spans="1:3">
      <c r="A49" s="47" t="s">
        <v>24</v>
      </c>
      <c r="B49" s="47" t="s">
        <v>8</v>
      </c>
      <c r="C49" s="47" t="s">
        <v>12</v>
      </c>
    </row>
    <row r="50" spans="1:3">
      <c r="A50" s="47" t="s">
        <v>18</v>
      </c>
      <c r="B50" s="47" t="s">
        <v>11</v>
      </c>
      <c r="C50" s="47" t="s">
        <v>10</v>
      </c>
    </row>
    <row r="51" spans="1:3">
      <c r="A51" s="47" t="s">
        <v>42</v>
      </c>
      <c r="B51" s="47" t="s">
        <v>11</v>
      </c>
      <c r="C51" s="47" t="s">
        <v>10</v>
      </c>
    </row>
    <row r="52" spans="1:3">
      <c r="A52" s="47" t="s">
        <v>66</v>
      </c>
      <c r="B52" s="47" t="s">
        <v>11</v>
      </c>
      <c r="C52" s="47" t="s">
        <v>10</v>
      </c>
    </row>
    <row r="53" spans="1:3">
      <c r="A53" s="47" t="s">
        <v>13</v>
      </c>
      <c r="B53" s="47" t="s">
        <v>11</v>
      </c>
      <c r="C53" s="47" t="s">
        <v>10</v>
      </c>
    </row>
    <row r="54" spans="1:3">
      <c r="A54" s="47" t="s">
        <v>32</v>
      </c>
      <c r="B54" s="47" t="s">
        <v>11</v>
      </c>
      <c r="C54" s="47" t="s">
        <v>10</v>
      </c>
    </row>
    <row r="55" spans="1:3">
      <c r="A55" s="47" t="s">
        <v>114</v>
      </c>
      <c r="B55" s="47" t="s">
        <v>11</v>
      </c>
      <c r="C55" s="47" t="s">
        <v>10</v>
      </c>
    </row>
    <row r="56" spans="1:3">
      <c r="A56" s="48" t="s">
        <v>104</v>
      </c>
      <c r="B56" s="47" t="s">
        <v>7</v>
      </c>
      <c r="C56" s="47" t="s">
        <v>10</v>
      </c>
    </row>
    <row r="57" spans="1:3">
      <c r="A57" s="47" t="s">
        <v>27</v>
      </c>
      <c r="B57" s="47" t="s">
        <v>7</v>
      </c>
      <c r="C57" s="47" t="s">
        <v>10</v>
      </c>
    </row>
    <row r="58" spans="1:3">
      <c r="A58" s="47" t="s">
        <v>55</v>
      </c>
      <c r="B58" s="47" t="s">
        <v>7</v>
      </c>
      <c r="C58" s="47" t="s">
        <v>10</v>
      </c>
    </row>
    <row r="59" spans="1:3">
      <c r="A59" s="47" t="s">
        <v>105</v>
      </c>
      <c r="B59" s="47" t="s">
        <v>11</v>
      </c>
      <c r="C59" s="47" t="s">
        <v>10</v>
      </c>
    </row>
    <row r="60" spans="1:3">
      <c r="A60" s="47" t="s">
        <v>54</v>
      </c>
      <c r="B60" s="47" t="s">
        <v>7</v>
      </c>
      <c r="C60" s="47" t="s">
        <v>10</v>
      </c>
    </row>
    <row r="61" spans="1:3">
      <c r="A61" s="47" t="s">
        <v>49</v>
      </c>
      <c r="B61" s="47" t="s">
        <v>11</v>
      </c>
      <c r="C61" s="47" t="s">
        <v>10</v>
      </c>
    </row>
    <row r="62" spans="1:3">
      <c r="A62" s="47" t="s">
        <v>106</v>
      </c>
      <c r="B62" s="47" t="s">
        <v>7</v>
      </c>
      <c r="C62" s="47" t="s">
        <v>10</v>
      </c>
    </row>
    <row r="63" spans="1:3">
      <c r="A63" s="47" t="s">
        <v>56</v>
      </c>
      <c r="B63" s="47" t="s">
        <v>7</v>
      </c>
      <c r="C63" s="47" t="s">
        <v>10</v>
      </c>
    </row>
    <row r="64" spans="1:3">
      <c r="A64" s="47" t="s">
        <v>17</v>
      </c>
      <c r="B64" s="47" t="s">
        <v>7</v>
      </c>
      <c r="C64" s="47" t="s">
        <v>10</v>
      </c>
    </row>
    <row r="65" spans="1:3">
      <c r="A65" s="47" t="s">
        <v>68</v>
      </c>
      <c r="B65" s="47" t="s">
        <v>11</v>
      </c>
      <c r="C65" s="47" t="s">
        <v>10</v>
      </c>
    </row>
    <row r="66" spans="1:3">
      <c r="A66" s="47" t="s">
        <v>69</v>
      </c>
      <c r="B66" s="47" t="s">
        <v>7</v>
      </c>
      <c r="C66" s="47" t="s">
        <v>10</v>
      </c>
    </row>
    <row r="67" spans="1:3">
      <c r="A67" s="48" t="s">
        <v>39</v>
      </c>
      <c r="B67" s="47" t="s">
        <v>7</v>
      </c>
      <c r="C67" s="47" t="s">
        <v>10</v>
      </c>
    </row>
    <row r="68" spans="1:3">
      <c r="A68" s="47" t="s">
        <v>21</v>
      </c>
      <c r="B68" s="47" t="s">
        <v>7</v>
      </c>
      <c r="C68" s="47" t="s">
        <v>10</v>
      </c>
    </row>
    <row r="69" spans="1:3">
      <c r="A69" s="47" t="s">
        <v>50</v>
      </c>
      <c r="B69" s="47" t="s">
        <v>7</v>
      </c>
      <c r="C69" s="47" t="s">
        <v>10</v>
      </c>
    </row>
    <row r="70" spans="1:3">
      <c r="A70" s="47" t="s">
        <v>40</v>
      </c>
      <c r="B70" s="47" t="s">
        <v>7</v>
      </c>
      <c r="C70" s="47" t="s">
        <v>10</v>
      </c>
    </row>
    <row r="71" spans="1:3">
      <c r="A71" s="47" t="s">
        <v>115</v>
      </c>
      <c r="B71" s="47" t="s">
        <v>7</v>
      </c>
      <c r="C71" s="47" t="s">
        <v>10</v>
      </c>
    </row>
    <row r="72" spans="1:3">
      <c r="A72" s="47" t="s">
        <v>30</v>
      </c>
      <c r="B72" s="47" t="s">
        <v>7</v>
      </c>
      <c r="C72" s="47" t="s">
        <v>10</v>
      </c>
    </row>
    <row r="73" spans="1:3">
      <c r="A73" s="47" t="s">
        <v>14</v>
      </c>
      <c r="B73" s="47" t="s">
        <v>7</v>
      </c>
      <c r="C73" s="47" t="s">
        <v>10</v>
      </c>
    </row>
    <row r="74" spans="1:3">
      <c r="A74" s="47" t="s">
        <v>58</v>
      </c>
      <c r="B74" s="47" t="s">
        <v>8</v>
      </c>
      <c r="C74" s="47" t="s">
        <v>12</v>
      </c>
    </row>
    <row r="75" spans="1:3">
      <c r="A75" s="47" t="s">
        <v>59</v>
      </c>
      <c r="B75" s="47" t="s">
        <v>8</v>
      </c>
      <c r="C75" s="47" t="s">
        <v>12</v>
      </c>
    </row>
    <row r="76" spans="1:3">
      <c r="A76" s="47" t="s">
        <v>107</v>
      </c>
      <c r="B76" s="47" t="s">
        <v>7</v>
      </c>
      <c r="C76" s="47" t="s">
        <v>10</v>
      </c>
    </row>
  </sheetData>
  <hyperlinks>
    <hyperlink ref="A2" r:id="rId1" display="mailto:fabiola.vasquez@clarosv" xr:uid="{D9F13A56-73A9-4E53-9A0A-5252A9E84C77}"/>
    <hyperlink ref="A3" r:id="rId2" display="mailto:adriana.quintana@clarosv" xr:uid="{709F6F23-FA1F-4DE4-A627-1B86A86624A9}"/>
    <hyperlink ref="A4" r:id="rId3" display="mailto:hellen.caceres@clarosv" xr:uid="{713F050E-4AC9-4ADB-8622-B3EAC2E18B2A}"/>
    <hyperlink ref="A5" r:id="rId4" display="mailto:guevara.mauricio@clarosv" xr:uid="{CF2B0822-BC58-4387-B184-70C9043BEE64}"/>
    <hyperlink ref="A6" r:id="rId5" display="mailto:oscar.perezp@clarosv" xr:uid="{E7CC31BB-01F1-458B-8B44-662B9CF9D402}"/>
    <hyperlink ref="A7" r:id="rId6" display="mailto:daniel.moran@clarosv" xr:uid="{8013CEF1-D382-490A-BA50-78791E7542F5}"/>
    <hyperlink ref="A8" r:id="rId7" display="mailto:estefany.mendezg@clarosv" xr:uid="{BEA0D9C3-E664-4328-9FD3-620FC102A9B4}"/>
    <hyperlink ref="A56" r:id="rId8" display="mailto:anthony.valencia@clarosv" xr:uid="{A7B308C5-F289-429C-94C4-E9B51C20AF46}"/>
    <hyperlink ref="A67" r:id="rId9" display="mailto:diego.erazo@clarosv" xr:uid="{EC016742-3FF2-4337-AF30-CB466F4C2D0C}"/>
  </hyperlinks>
  <pageMargins left="0.7" right="0.7" top="0.75" bottom="0.75" header="0.3" footer="0.3"/>
  <pageSetup orientation="portrait" r:id="rId10"/>
  <tableParts count="1"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6bf3dc-8a9f-447c-962d-7ef2a4353b71">
      <Terms xmlns="http://schemas.microsoft.com/office/infopath/2007/PartnerControls"/>
    </lcf76f155ced4ddcb4097134ff3c332f>
    <TaxCatchAll xmlns="a8890e67-7559-43f4-991c-e10ea0a627be" xsi:nil="true"/>
  </documentManagement>
</p:properti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A9610265F16E947916BF27DFC9E2BC9" ma:contentTypeVersion="14" ma:contentTypeDescription="Crear nuevo documento." ma:contentTypeScope="" ma:versionID="adf37e8c21cdfe7e2a43409101030173">
  <xsd:schema xmlns:xsd="http://www.w3.org/2001/XMLSchema" xmlns:xs="http://www.w3.org/2001/XMLSchema" xmlns:p="http://schemas.microsoft.com/office/2006/metadata/properties" xmlns:ns2="d66bf3dc-8a9f-447c-962d-7ef2a4353b71" xmlns:ns3="a8890e67-7559-43f4-991c-e10ea0a627be" targetNamespace="http://schemas.microsoft.com/office/2006/metadata/properties" ma:root="true" ma:fieldsID="25c933cb3224234d8047affabbbe424e" ns2:_="" ns3:_="">
    <xsd:import namespace="d66bf3dc-8a9f-447c-962d-7ef2a4353b71"/>
    <xsd:import namespace="a8890e67-7559-43f4-991c-e10ea0a627b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6bf3dc-8a9f-447c-962d-7ef2a4353b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be9c77ef-57ae-4d07-9e9d-f558a0830c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890e67-7559-43f4-991c-e10ea0a627b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95d8a1bd-4a5a-4b0d-a328-fc9de0452b8c}" ma:internalName="TaxCatchAll" ma:showField="CatchAllData" ma:web="a8890e67-7559-43f4-991c-e10ea0a627b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Props1.xml><?xml version="1.0" encoding="utf-8"?>
<ds:datastoreItem xmlns:ds="http://schemas.openxmlformats.org/officeDocument/2006/customXml" ds:itemID="{E588B8CF-989F-468D-9540-6A76A9D147AB}">
  <ds:schemaRefs>
    <ds:schemaRef ds:uri="http://gemini/pivotcustomization/ClientWindowXML"/>
  </ds:schemaRefs>
</ds:datastoreItem>
</file>

<file path=customXml/itemProps2.xml><?xml version="1.0" encoding="utf-8"?>
<ds:datastoreItem xmlns:ds="http://schemas.openxmlformats.org/officeDocument/2006/customXml" ds:itemID="{FE0EA910-F857-4D4F-A073-E72F29E9904D}">
  <ds:schemaRefs/>
</ds:datastoreItem>
</file>

<file path=customXml/itemProps3.xml><?xml version="1.0" encoding="utf-8"?>
<ds:datastoreItem xmlns:ds="http://schemas.openxmlformats.org/officeDocument/2006/customXml" ds:itemID="{BBE901C4-547A-47C1-BB5D-9C77A2B96D6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A3E841A-CB7A-4E9E-B286-147BB3EA2B32}">
  <ds:schemaRefs>
    <ds:schemaRef ds:uri="http://gemini/pivotcustomization/LinkedTableUpdateMode"/>
  </ds:schemaRefs>
</ds:datastoreItem>
</file>

<file path=customXml/itemProps5.xml><?xml version="1.0" encoding="utf-8"?>
<ds:datastoreItem xmlns:ds="http://schemas.openxmlformats.org/officeDocument/2006/customXml" ds:itemID="{F0D0ED57-ECC3-49C9-8DDF-D1FE78B18A44}">
  <ds:schemaRefs/>
</ds:datastoreItem>
</file>

<file path=customXml/itemProps6.xml><?xml version="1.0" encoding="utf-8"?>
<ds:datastoreItem xmlns:ds="http://schemas.openxmlformats.org/officeDocument/2006/customXml" ds:itemID="{6DBDDB51-34AD-4B47-9D44-D39AEFE3118A}">
  <ds:schemaRefs/>
</ds:datastoreItem>
</file>

<file path=customXml/itemProps7.xml><?xml version="1.0" encoding="utf-8"?>
<ds:datastoreItem xmlns:ds="http://schemas.openxmlformats.org/officeDocument/2006/customXml" ds:itemID="{D31F33C7-F9F3-4024-A936-93D7AEB66F85}">
  <ds:schemaRefs/>
</ds:datastoreItem>
</file>

<file path=customXml/itemProps8.xml><?xml version="1.0" encoding="utf-8"?>
<ds:datastoreItem xmlns:ds="http://schemas.openxmlformats.org/officeDocument/2006/customXml" ds:itemID="{760E805B-BE4D-447D-82C1-B1050BAD9BDC}">
  <ds:schemaRefs/>
</ds:datastoreItem>
</file>

<file path=customXml/itemProps9.xml><?xml version="1.0" encoding="utf-8"?>
<ds:datastoreItem xmlns:ds="http://schemas.openxmlformats.org/officeDocument/2006/customXml" ds:itemID="{1D1490A8-0FF8-49AB-8083-9A52D39A83BF}">
  <ds:schemaRefs>
    <ds:schemaRef ds:uri="http://gemini/pivotcustomization/7fc9fb92-cc6e-467f-a75d-30f6391fcfc2"/>
  </ds:schemaRefs>
</ds:datastoreItem>
</file>

<file path=customXml/itemProps10.xml><?xml version="1.0" encoding="utf-8"?>
<ds:datastoreItem xmlns:ds="http://schemas.openxmlformats.org/officeDocument/2006/customXml" ds:itemID="{5C80EB2F-28BE-416E-B8A3-66CA0D052544}">
  <ds:schemaRefs>
    <ds:schemaRef ds:uri="http://gemini/pivotcustomization/ManualCalcMode"/>
  </ds:schemaRefs>
</ds:datastoreItem>
</file>

<file path=customXml/itemProps11.xml><?xml version="1.0" encoding="utf-8"?>
<ds:datastoreItem xmlns:ds="http://schemas.openxmlformats.org/officeDocument/2006/customXml" ds:itemID="{19BD7E8C-3F12-45EA-AA5D-422B746DF9DB}">
  <ds:schemaRefs>
    <ds:schemaRef ds:uri="d66bf3dc-8a9f-447c-962d-7ef2a4353b71"/>
    <ds:schemaRef ds:uri="http://purl.org/dc/dcmitype/"/>
    <ds:schemaRef ds:uri="http://schemas.microsoft.com/office/2006/documentManagement/types"/>
    <ds:schemaRef ds:uri="http://purl.org/dc/terms/"/>
    <ds:schemaRef ds:uri="a8890e67-7559-43f4-991c-e10ea0a627be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12.xml><?xml version="1.0" encoding="utf-8"?>
<ds:datastoreItem xmlns:ds="http://schemas.openxmlformats.org/officeDocument/2006/customXml" ds:itemID="{8473164D-6A11-4A69-A412-18C2124F910F}">
  <ds:schemaRefs/>
</ds:datastoreItem>
</file>

<file path=customXml/itemProps13.xml><?xml version="1.0" encoding="utf-8"?>
<ds:datastoreItem xmlns:ds="http://schemas.openxmlformats.org/officeDocument/2006/customXml" ds:itemID="{7115BC2F-78F1-411C-9593-A839CFCD7A8D}">
  <ds:schemaRefs/>
</ds:datastoreItem>
</file>

<file path=customXml/itemProps14.xml><?xml version="1.0" encoding="utf-8"?>
<ds:datastoreItem xmlns:ds="http://schemas.openxmlformats.org/officeDocument/2006/customXml" ds:itemID="{94E7ED3E-E89B-4F2D-8B06-DE33D055380F}">
  <ds:schemaRefs>
    <ds:schemaRef ds:uri="http://gemini/pivotcustomization/ShowHidden"/>
  </ds:schemaRefs>
</ds:datastoreItem>
</file>

<file path=customXml/itemProps15.xml><?xml version="1.0" encoding="utf-8"?>
<ds:datastoreItem xmlns:ds="http://schemas.openxmlformats.org/officeDocument/2006/customXml" ds:itemID="{AD891F59-CDC1-4DCE-AD06-6B8F76FE42F2}">
  <ds:schemaRefs/>
</ds:datastoreItem>
</file>

<file path=customXml/itemProps16.xml><?xml version="1.0" encoding="utf-8"?>
<ds:datastoreItem xmlns:ds="http://schemas.openxmlformats.org/officeDocument/2006/customXml" ds:itemID="{84DEC583-DDEC-4259-9793-42EBC5B42A0A}">
  <ds:schemaRefs>
    <ds:schemaRef ds:uri="http://gemini/pivotcustomization/TableOrder"/>
  </ds:schemaRefs>
</ds:datastoreItem>
</file>

<file path=customXml/itemProps17.xml><?xml version="1.0" encoding="utf-8"?>
<ds:datastoreItem xmlns:ds="http://schemas.openxmlformats.org/officeDocument/2006/customXml" ds:itemID="{4057D41F-9257-4F0B-B503-4AF15078B848}">
  <ds:schemaRefs>
    <ds:schemaRef ds:uri="http://gemini/pivotcustomization/740bdd95-17f4-4b2d-bfce-6f6f7b9a6059"/>
  </ds:schemaRefs>
</ds:datastoreItem>
</file>

<file path=customXml/itemProps18.xml><?xml version="1.0" encoding="utf-8"?>
<ds:datastoreItem xmlns:ds="http://schemas.openxmlformats.org/officeDocument/2006/customXml" ds:itemID="{7CBAFC54-0180-4A0C-A282-E369A2490E25}">
  <ds:schemaRefs/>
</ds:datastoreItem>
</file>

<file path=customXml/itemProps19.xml><?xml version="1.0" encoding="utf-8"?>
<ds:datastoreItem xmlns:ds="http://schemas.openxmlformats.org/officeDocument/2006/customXml" ds:itemID="{CD2D72E9-D93B-4249-BDC1-22251561F479}">
  <ds:schemaRefs>
    <ds:schemaRef ds:uri="http://gemini/pivotcustomization/FormulaBarState"/>
  </ds:schemaRefs>
</ds:datastoreItem>
</file>

<file path=customXml/itemProps20.xml><?xml version="1.0" encoding="utf-8"?>
<ds:datastoreItem xmlns:ds="http://schemas.openxmlformats.org/officeDocument/2006/customXml" ds:itemID="{25F12825-323C-49AA-9597-F9F309D8B3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6bf3dc-8a9f-447c-962d-7ef2a4353b71"/>
    <ds:schemaRef ds:uri="a8890e67-7559-43f4-991c-e10ea0a627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75CEEC44-9EE4-4864-BC35-2B21210A41DE}">
  <ds:schemaRefs/>
</ds:datastoreItem>
</file>

<file path=customXml/itemProps22.xml><?xml version="1.0" encoding="utf-8"?>
<ds:datastoreItem xmlns:ds="http://schemas.openxmlformats.org/officeDocument/2006/customXml" ds:itemID="{507539CF-2766-45B4-A871-31CEF95D9681}">
  <ds:schemaRefs/>
</ds:datastoreItem>
</file>

<file path=customXml/itemProps23.xml><?xml version="1.0" encoding="utf-8"?>
<ds:datastoreItem xmlns:ds="http://schemas.openxmlformats.org/officeDocument/2006/customXml" ds:itemID="{A0E88301-067E-40A4-8041-56DE374911B6}">
  <ds:schemaRefs/>
</ds:datastoreItem>
</file>

<file path=customXml/itemProps24.xml><?xml version="1.0" encoding="utf-8"?>
<ds:datastoreItem xmlns:ds="http://schemas.openxmlformats.org/officeDocument/2006/customXml" ds:itemID="{8474907C-F47C-4D71-BE11-21D2D9A0B458}">
  <ds:schemaRefs/>
</ds:datastoreItem>
</file>

<file path=customXml/itemProps25.xml><?xml version="1.0" encoding="utf-8"?>
<ds:datastoreItem xmlns:ds="http://schemas.openxmlformats.org/officeDocument/2006/customXml" ds:itemID="{8BA203D7-44DD-4A57-BA01-7FAE87AA9E9C}">
  <ds:schemaRefs>
    <ds:schemaRef ds:uri="http://gemini/pivotcustomization/ShowImplicitMeasures"/>
  </ds:schemaRefs>
</ds:datastoreItem>
</file>

<file path=customXml/itemProps26.xml><?xml version="1.0" encoding="utf-8"?>
<ds:datastoreItem xmlns:ds="http://schemas.openxmlformats.org/officeDocument/2006/customXml" ds:itemID="{13836531-34F3-4050-A67F-593528A832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Usuarios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Oliva Portillo, Ruben Eduardo</dc:creator>
  <cp:keywords/>
  <dc:description/>
  <cp:lastModifiedBy>JUAN CARLOS MELENDEZ MARTINEZ</cp:lastModifiedBy>
  <cp:revision/>
  <dcterms:created xsi:type="dcterms:W3CDTF">2015-06-05T18:19:34Z</dcterms:created>
  <dcterms:modified xsi:type="dcterms:W3CDTF">2025-09-01T18:06:57Z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0x010100EA9610265F16E947916BF27DFC9E2BC9</vt:lpwstr>
  </property>
  <property fmtid="{D5CDD505-2E9C-101B-9397-08002B2CF9AE}" pid="3" name="MediaServiceImageTags">
    <vt:lpwstr/>
  </property>
</Properties>
</file>